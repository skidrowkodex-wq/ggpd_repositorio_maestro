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trabajo\"/>
    </mc:Choice>
  </mc:AlternateContent>
  <xr:revisionPtr revIDLastSave="0" documentId="13_ncr:1_{15D24CAF-5515-41BE-BF90-012E6982EDD9}" xr6:coauthVersionLast="47" xr6:coauthVersionMax="47" xr10:uidLastSave="{00000000-0000-0000-0000-000000000000}"/>
  <bookViews>
    <workbookView xWindow="-108" yWindow="-108" windowWidth="23256" windowHeight="13896" tabRatio="682" xr2:uid="{00000000-000D-0000-FFFF-FFFF00000000}"/>
  </bookViews>
  <sheets>
    <sheet name="EQUIPOS INDISPONIBLES SE" sheetId="1" r:id="rId1"/>
    <sheet name="MATERIAL  POR ACTIVIDAD" sheetId="2" r:id="rId2"/>
    <sheet name="LISTA" sheetId="3" r:id="rId3"/>
    <sheet name="FAMILIAS" sheetId="5" r:id="rId4"/>
    <sheet name="PRECIOS" sheetId="7" r:id="rId5"/>
    <sheet name="Hoja2" sheetId="15" r:id="rId6"/>
  </sheets>
  <externalReferences>
    <externalReference r:id="rId7"/>
    <externalReference r:id="rId8"/>
  </externalReferences>
  <definedNames>
    <definedName name="_xlnm._FilterDatabase" localSheetId="0" hidden="1">'EQUIPOS INDISPONIBLES SE'!$A$1:$O$54</definedName>
    <definedName name="_xlnm._FilterDatabase" localSheetId="3" hidden="1">FAMILIAS!$A$1:$A$438</definedName>
    <definedName name="_xlnm._FilterDatabase" localSheetId="1" hidden="1">'MATERIAL  POR ACTIVIDAD'!$A$1:$O$54</definedName>
    <definedName name="_xlnm._FilterDatabase" localSheetId="4" hidden="1">PRECIOS!$A$1:$C$842</definedName>
    <definedName name="_xlcn.WorksheetConnection_TRXSUBESTACIONESA4D11700" hidden="1">'[1]TRX SUBESTACIONES'!$A$4:$D$11700</definedName>
    <definedName name="BANCODECONDESADORES">FAMILIAS!$S$2:$S$11</definedName>
    <definedName name="COMPONENTES">LISTA!$Z$1:$AV$1</definedName>
    <definedName name="CONDUCTOR">LISTA!$AS$2:$AS$4</definedName>
    <definedName name="CONECTOR">AISLADORESSOPORTE[CONECTOR]</definedName>
    <definedName name="ESTADO">[2]LISTA!#REF!</definedName>
    <definedName name="ESTATUS">LISTA!$AX$2:$AX$4</definedName>
    <definedName name="FAMILIAS">FAMILIAS!$A$1:$X$1</definedName>
    <definedName name="HERRAJE">LISTA!$AU$2:$AU$3</definedName>
    <definedName name="REGION">LISTA!$C$2:$C$9</definedName>
    <definedName name="TENSIONCIRCUITO">LISTA!$T$2:$T$15</definedName>
    <definedName name="TENSIONSUBESTACION">LISTA!$R$2:$R$14</definedName>
    <definedName name="TIPORESTRICCIONES">LISTA!$V$2:$V$11</definedName>
    <definedName name="TRANSFORMADORESDEPOTENCIA">EQUIPOSDESUBESTACIONES2[TRANSFORMADORESDEPOTENCIA]</definedName>
    <definedName name="UNIDAD">LISTA!$P$2:$P$13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Rango2" name="Rango2" connection="WorksheetConnection_TRX SUBESTACIONES!$A$4:$D$1170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" i="2" l="1"/>
  <c r="M54" i="2" s="1"/>
  <c r="J54" i="2"/>
  <c r="K53" i="2"/>
  <c r="M53" i="2" s="1"/>
  <c r="J53" i="2"/>
  <c r="K52" i="2"/>
  <c r="M52" i="2" s="1"/>
  <c r="J52" i="2"/>
  <c r="K51" i="2"/>
  <c r="M51" i="2" s="1"/>
  <c r="J51" i="2"/>
  <c r="K50" i="2"/>
  <c r="M50" i="2" s="1"/>
  <c r="J50" i="2"/>
  <c r="K2" i="2" l="1"/>
  <c r="K21" i="2"/>
  <c r="K22" i="2"/>
  <c r="K23" i="2"/>
  <c r="K48" i="2"/>
  <c r="M48" i="2" s="1"/>
  <c r="K49" i="2"/>
  <c r="M49" i="2" s="1"/>
  <c r="J21" i="2"/>
  <c r="J22" i="2"/>
  <c r="J23" i="2"/>
  <c r="J48" i="2"/>
  <c r="J49" i="2"/>
  <c r="J2" i="2"/>
  <c r="M2" i="2" l="1"/>
  <c r="M21" i="2"/>
  <c r="M22" i="2"/>
  <c r="M23" i="2"/>
  <c r="J3" i="2" l="1"/>
  <c r="K3" i="2"/>
  <c r="M3" i="2" s="1"/>
  <c r="J4" i="2"/>
  <c r="K4" i="2"/>
  <c r="M4" i="2" s="1"/>
  <c r="J5" i="2"/>
  <c r="K5" i="2"/>
  <c r="M5" i="2" s="1"/>
  <c r="J6" i="2"/>
  <c r="K6" i="2"/>
  <c r="M6" i="2" s="1"/>
  <c r="J7" i="2"/>
  <c r="K7" i="2"/>
  <c r="M7" i="2" s="1"/>
  <c r="J8" i="2"/>
  <c r="K8" i="2"/>
  <c r="M8" i="2" s="1"/>
  <c r="J9" i="2"/>
  <c r="K9" i="2"/>
  <c r="M9" i="2" s="1"/>
  <c r="J10" i="2"/>
  <c r="K10" i="2"/>
  <c r="M10" i="2" s="1"/>
  <c r="J11" i="2"/>
  <c r="K11" i="2"/>
  <c r="M11" i="2" s="1"/>
  <c r="J12" i="2"/>
  <c r="K12" i="2"/>
  <c r="M12" i="2" s="1"/>
  <c r="J13" i="2"/>
  <c r="K13" i="2"/>
  <c r="M13" i="2" s="1"/>
  <c r="J14" i="2"/>
  <c r="K14" i="2"/>
  <c r="M14" i="2" s="1"/>
  <c r="J15" i="2"/>
  <c r="K15" i="2"/>
  <c r="M15" i="2" s="1"/>
  <c r="J16" i="2"/>
  <c r="K16" i="2"/>
  <c r="M16" i="2" s="1"/>
  <c r="J17" i="2"/>
  <c r="K17" i="2"/>
  <c r="M17" i="2" s="1"/>
  <c r="J18" i="2"/>
  <c r="K18" i="2"/>
  <c r="M18" i="2" s="1"/>
  <c r="J19" i="2"/>
  <c r="K19" i="2"/>
  <c r="M19" i="2" s="1"/>
  <c r="J20" i="2"/>
  <c r="K20" i="2"/>
  <c r="M20" i="2" s="1"/>
  <c r="J24" i="2"/>
  <c r="K24" i="2"/>
  <c r="M24" i="2" s="1"/>
  <c r="J25" i="2"/>
  <c r="K25" i="2"/>
  <c r="M25" i="2" s="1"/>
  <c r="J26" i="2"/>
  <c r="K26" i="2"/>
  <c r="M26" i="2" s="1"/>
  <c r="J27" i="2"/>
  <c r="K27" i="2"/>
  <c r="M27" i="2" s="1"/>
  <c r="J28" i="2"/>
  <c r="K28" i="2"/>
  <c r="M28" i="2" s="1"/>
  <c r="J29" i="2"/>
  <c r="K29" i="2"/>
  <c r="M29" i="2" s="1"/>
  <c r="J30" i="2"/>
  <c r="K30" i="2"/>
  <c r="M30" i="2" s="1"/>
  <c r="J31" i="2"/>
  <c r="K31" i="2"/>
  <c r="M31" i="2" s="1"/>
  <c r="J32" i="2"/>
  <c r="K32" i="2"/>
  <c r="M32" i="2" s="1"/>
  <c r="J33" i="2"/>
  <c r="K33" i="2"/>
  <c r="M33" i="2" s="1"/>
  <c r="J34" i="2"/>
  <c r="K34" i="2"/>
  <c r="M34" i="2" s="1"/>
  <c r="J35" i="2"/>
  <c r="K35" i="2"/>
  <c r="M35" i="2" s="1"/>
  <c r="J36" i="2"/>
  <c r="K36" i="2"/>
  <c r="M36" i="2" s="1"/>
  <c r="J37" i="2"/>
  <c r="K37" i="2"/>
  <c r="M37" i="2" s="1"/>
  <c r="J38" i="2"/>
  <c r="K38" i="2"/>
  <c r="M38" i="2" s="1"/>
  <c r="J39" i="2"/>
  <c r="K39" i="2"/>
  <c r="M39" i="2" s="1"/>
  <c r="J40" i="2"/>
  <c r="K40" i="2"/>
  <c r="M40" i="2" s="1"/>
  <c r="J41" i="2"/>
  <c r="K41" i="2"/>
  <c r="M41" i="2" s="1"/>
  <c r="J42" i="2"/>
  <c r="K42" i="2"/>
  <c r="M42" i="2" s="1"/>
  <c r="J43" i="2"/>
  <c r="K43" i="2"/>
  <c r="M43" i="2" s="1"/>
  <c r="J44" i="2"/>
  <c r="K44" i="2"/>
  <c r="M44" i="2" s="1"/>
  <c r="J45" i="2"/>
  <c r="K45" i="2"/>
  <c r="M45" i="2" s="1"/>
  <c r="J46" i="2"/>
  <c r="K46" i="2"/>
  <c r="M46" i="2" s="1"/>
  <c r="J47" i="2"/>
  <c r="K47" i="2"/>
  <c r="M47" i="2" s="1"/>
  <c r="C834" i="7" l="1"/>
  <c r="C836" i="7" l="1"/>
  <c r="C835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 l="1"/>
  <c r="C820" i="7"/>
  <c r="C819" i="7"/>
  <c r="C759" i="7" l="1"/>
  <c r="C760" i="7"/>
  <c r="C758" i="7"/>
  <c r="C750" i="7"/>
  <c r="C749" i="7"/>
  <c r="C748" i="7"/>
  <c r="C757" i="7"/>
  <c r="D75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A6995144</author>
  </authors>
  <commentList>
    <comment ref="O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A6995144:</t>
        </r>
        <r>
          <rPr>
            <sz val="9"/>
            <color indexed="81"/>
            <rFont val="Tahoma"/>
            <family val="2"/>
          </rPr>
          <t xml:space="preserve">
EL 29/09/2025 SE HABÍA INSTALADO UN RECONECTADOR HIDRAULICO PERO EL MISMO TIENE PROBLEMAS, SE REQUIERE SUSTITUIRLO POR UNO DIGITAL</t>
        </r>
      </text>
    </comment>
    <comment ref="O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A6995144:</t>
        </r>
        <r>
          <rPr>
            <sz val="9"/>
            <color indexed="81"/>
            <rFont val="Tahoma"/>
            <family val="2"/>
          </rPr>
          <t xml:space="preserve">
EL 29/09/2025 SE HABÍA INSTALADO UN RECONECTADOR HIDRAULICO PERO EL MISMO TIENE PROBLEMAS, SE REQUIERE SUSTITUIRLO POR UNO DIGITAL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TRX SUBESTACIONES!$A$4:$D$11700" type="102" refreshedVersion="6" minRefreshableVersion="5">
    <extLst>
      <ext xmlns:x15="http://schemas.microsoft.com/office/spreadsheetml/2010/11/main" uri="{DE250136-89BD-433C-8126-D09CA5730AF9}">
        <x15:connection id="Rango2" autoDelete="1">
          <x15:rangePr sourceName="_xlcn.WorksheetConnection_TRXSUBESTACIONESA4D11700"/>
        </x15:connection>
      </ext>
    </extLst>
  </connection>
</connections>
</file>

<file path=xl/sharedStrings.xml><?xml version="1.0" encoding="utf-8"?>
<sst xmlns="http://schemas.openxmlformats.org/spreadsheetml/2006/main" count="4159" uniqueCount="1344">
  <si>
    <t>ESTADO</t>
  </si>
  <si>
    <t>BOLIVAR</t>
  </si>
  <si>
    <t>CARABOBO</t>
  </si>
  <si>
    <t>FAMILIA DE MATERIAL</t>
  </si>
  <si>
    <t>DESCRIPCION DEL MATERIAL</t>
  </si>
  <si>
    <t>UNIDAD</t>
  </si>
  <si>
    <t>CANTIDAD SOLICITADA</t>
  </si>
  <si>
    <t>P x Q</t>
  </si>
  <si>
    <t>AISLADORES Y COPAS</t>
  </si>
  <si>
    <t>AISLADOR DE SUSPENSION 7,5 KV, DE PORCEL</t>
  </si>
  <si>
    <t>PZA</t>
  </si>
  <si>
    <t>AISLADOR DE ESPIGA PARA 15 KV</t>
  </si>
  <si>
    <t>HERRAJES</t>
  </si>
  <si>
    <t>CONECTORES</t>
  </si>
  <si>
    <t>UND</t>
  </si>
  <si>
    <t>SECCIONADORES</t>
  </si>
  <si>
    <t>FUSIBLES</t>
  </si>
  <si>
    <t>CORTACORRIENTES</t>
  </si>
  <si>
    <t>POSTES</t>
  </si>
  <si>
    <t>ADAPTADOR A/G 128 X 112 CRUCETA 3-4 1/2</t>
  </si>
  <si>
    <t>CABLES Y CONDUCTORES</t>
  </si>
  <si>
    <t>PARARRAYOS</t>
  </si>
  <si>
    <t>ANCLA EXPANSION 210X22MM 8X5/8"</t>
  </si>
  <si>
    <t>TRANSFORMADORES</t>
  </si>
  <si>
    <t>RECONECTADORES</t>
  </si>
  <si>
    <t>INTERRUPTORES</t>
  </si>
  <si>
    <t>M</t>
  </si>
  <si>
    <t>SECCIONADOR MONOP 13.8KV 630A 110KVBIL</t>
  </si>
  <si>
    <t>FAMILIAS</t>
  </si>
  <si>
    <t>AMAZONAS</t>
  </si>
  <si>
    <t>ANZOATEGUI</t>
  </si>
  <si>
    <t>APURE</t>
  </si>
  <si>
    <t>ARAGUA</t>
  </si>
  <si>
    <t xml:space="preserve">EQUIPOS DE SUB ESTACIONES </t>
  </si>
  <si>
    <t>BARINAS</t>
  </si>
  <si>
    <t>CAPITAL</t>
  </si>
  <si>
    <t>COJEDES</t>
  </si>
  <si>
    <t>DELTA AMACURO</t>
  </si>
  <si>
    <t>FALCON</t>
  </si>
  <si>
    <t>REGULADORES</t>
  </si>
  <si>
    <t>GUARICO</t>
  </si>
  <si>
    <t>LA GUAIRA</t>
  </si>
  <si>
    <t>TEIPES CINTAS Y OTROS AISLANTES</t>
  </si>
  <si>
    <t>LARA</t>
  </si>
  <si>
    <t>MERIDA</t>
  </si>
  <si>
    <t>TRANSFORMADORES DE MEDIDA (TC Y TP)</t>
  </si>
  <si>
    <t>MIRANDA</t>
  </si>
  <si>
    <t>MATERIALES VARIOS</t>
  </si>
  <si>
    <t>MONAGAS</t>
  </si>
  <si>
    <t>MATERIALES ALUMBRADO PUBLICO</t>
  </si>
  <si>
    <t>NUEVA ESPARTA</t>
  </si>
  <si>
    <t>RECTIFICADORES</t>
  </si>
  <si>
    <t>PORTUGUESA</t>
  </si>
  <si>
    <t>BANCO DE BATERIAS</t>
  </si>
  <si>
    <t>SUCRE</t>
  </si>
  <si>
    <t>NO REQUIERE MATERIAL</t>
  </si>
  <si>
    <t>TACHIRA</t>
  </si>
  <si>
    <t>TRUJILLO</t>
  </si>
  <si>
    <t>YARACUY</t>
  </si>
  <si>
    <t>ZULIA</t>
  </si>
  <si>
    <t>CATEGORIA</t>
  </si>
  <si>
    <t>ADMINISTRACION DE CARGA</t>
  </si>
  <si>
    <t>ALUMBRADO</t>
  </si>
  <si>
    <t>CALIDAD DE SERVICIO</t>
  </si>
  <si>
    <t>NO PROCEDE, OTRO SERVICIO</t>
  </si>
  <si>
    <t xml:space="preserve">PICA Y PODA </t>
  </si>
  <si>
    <t>RECLAMO DE SERVICIO</t>
  </si>
  <si>
    <t>TRANSFORMADOR</t>
  </si>
  <si>
    <t xml:space="preserve">PZA </t>
  </si>
  <si>
    <t>KG</t>
  </si>
  <si>
    <t>RL</t>
  </si>
  <si>
    <t>H-H</t>
  </si>
  <si>
    <t>DESCRIPCIÓN DEL MATERIAL</t>
  </si>
  <si>
    <t>UNIDAD DE MEDIDA</t>
  </si>
  <si>
    <t>DESCARGADOR DE SOBRETENSION 21 KV</t>
  </si>
  <si>
    <t>PARARRAYO POLIME 36KV 10KA 660MM OXIDO</t>
  </si>
  <si>
    <t>PARARRAYO POLIMERICO 17.5KV 10KA DF=606</t>
  </si>
  <si>
    <t>DESCARGADOR SOBRETENSION POLIMERICO 6KV</t>
  </si>
  <si>
    <t>DESCARGADOR SOBRETENSION POLIMERICO 9KV</t>
  </si>
  <si>
    <t xml:space="preserve">CORTACORRIENTES </t>
  </si>
  <si>
    <t>CORTACORRIENTE MONOP 13.8KV 100A 12KA</t>
  </si>
  <si>
    <t>CORTACORRIENTE MONOP 34.5KV 100A 8KA</t>
  </si>
  <si>
    <t>CORTACORRIENTE MONOP 13.8KV 100A 12KA TIPO B</t>
  </si>
  <si>
    <t>PORTAFUSIBL CORTACORR 15KV "C" 125KVB</t>
  </si>
  <si>
    <t>CORTACORRIENTE MONOPOLAR 23,9 KV</t>
  </si>
  <si>
    <t>PORTA FUSIBLE P/CORTAC 34.5KV 150 BILL</t>
  </si>
  <si>
    <t>PORTAFUSIBLE 100 A, 23,9 KV, CUT OUT</t>
  </si>
  <si>
    <t>SECCIONADOR MONOP 34.5KV 630A 170KVBIL</t>
  </si>
  <si>
    <t>SECCIONADOR MONOPOLAR 23.9 KV 600A</t>
  </si>
  <si>
    <t>SECCIONADOR TRIPOLAR 13.8KV 630A 110KBIL</t>
  </si>
  <si>
    <t>SECCIONAD 3F TR/MAN 2V 15KV 600A SF6</t>
  </si>
  <si>
    <t>SECCIONAD 3F TR/MAN 3V 15KV 600A SF6</t>
  </si>
  <si>
    <t>SECCIONAD 3F TR/MAN 4V 15KV 600A SF6</t>
  </si>
  <si>
    <t>SECCIONAD 3F VACIO C/PORTAFUS CANISTER</t>
  </si>
  <si>
    <t>SECCIONAD 3F VACIO C/PORTAFUS PARA MCLF</t>
  </si>
  <si>
    <t>SECCIONADOR SF6 T.A 2V C/SECC 600A 4.8KV</t>
  </si>
  <si>
    <t>SECCIONADOR/TRAN/AUT/2V C/SECC 15KV SF6</t>
  </si>
  <si>
    <t>SIS ENCLAV P/CANISTER P/INT TR/AUT VACIO</t>
  </si>
  <si>
    <t>SIS ENCLAV P/MOLDEADO P/INT TR/AUT VACIO</t>
  </si>
  <si>
    <t xml:space="preserve">FUSIBLES </t>
  </si>
  <si>
    <t>FUSIBLE TIPO K 15-27KV 5A</t>
  </si>
  <si>
    <t>FUSIBLE TIPO K 15-27KV 10A</t>
  </si>
  <si>
    <t>FUSIBLE TIPO K 15-27KV 8A</t>
  </si>
  <si>
    <t>FUSIBLE TIPO K 15-27KV 3A</t>
  </si>
  <si>
    <t>FUSIBLE TIPO K 15-27KV 12A</t>
  </si>
  <si>
    <t>FUSIBLE TIPO K 15-27KV 15A</t>
  </si>
  <si>
    <t>FUSIBLE TIPO K 15-27KV 20A</t>
  </si>
  <si>
    <t>FUSIBLE TIPO K 15-27KV 25A</t>
  </si>
  <si>
    <t>FUSIBLE TIPO T 15-27KV 15A</t>
  </si>
  <si>
    <t>FUSIBLE TIPO T 15-27KV 25A</t>
  </si>
  <si>
    <t>FUSIBLE TIPO T 15-27KV 10A</t>
  </si>
  <si>
    <t>FUSIBLE TIPO H 15-27KV 3A</t>
  </si>
  <si>
    <t>FUSIBLE TIPO T 15-27KV 20A</t>
  </si>
  <si>
    <t>FUSIBLE TIPO T 15-27KV 30A</t>
  </si>
  <si>
    <t>FUSIBLE TIPO T 15-27KV 50A</t>
  </si>
  <si>
    <t>FUSIBLE TIPO T 15-27KV 65A</t>
  </si>
  <si>
    <t>FUSIBLE TIPO T 15-27KV 6A</t>
  </si>
  <si>
    <t>FUSIBLE TIPO T 15-27KV 8A</t>
  </si>
  <si>
    <t>FUSIBLE CARTUCHO T/NH 100A 500V TAMAÑO 1</t>
  </si>
  <si>
    <t>FUSIBLE CARTUCHO T/NH 125A 500V TAMAÑO 1</t>
  </si>
  <si>
    <t>FUSIBLE CARTUCHO T/NH 63A 500V TAMAÑO 1</t>
  </si>
  <si>
    <t>FUSIBLE D/EXPULSION T/E 100A 15KV</t>
  </si>
  <si>
    <t>FUSIBLE D/EXPULSION T/E 125A 15KV</t>
  </si>
  <si>
    <t>FUSIBLE D/EXPULSION T/E 20A 15KV</t>
  </si>
  <si>
    <t>FUSIBLE D/EXPULSION T/E 30A 15KV</t>
  </si>
  <si>
    <t>FUSIBLE D/EXPULSION T/E 40A 15KV</t>
  </si>
  <si>
    <t>FUSIBLE D/EXPULSION T/E 50A 15KV</t>
  </si>
  <si>
    <t>FUSIBLE D/EXPULSION T/E 65A 15KV</t>
  </si>
  <si>
    <t>PORTAFUSIBLE T/CANISTER C/SALIDA 600A</t>
  </si>
  <si>
    <t>PORTAFUSIBLE T/MOLDEADO C/SALIDA 600A</t>
  </si>
  <si>
    <t>CINTA MALLA DE COBRE ESTAÑADO</t>
  </si>
  <si>
    <t>ROL</t>
  </si>
  <si>
    <t>CINTA AISL PVC 3/4"X 66 AMAR 3M #33</t>
  </si>
  <si>
    <t>CINTA 1/2" POLIESTER REFORZ FILAM.VIDRIO</t>
  </si>
  <si>
    <t>CINTA AISLANTE GOMA 3/4" ANCH AT NEG #23</t>
  </si>
  <si>
    <t>CINTA RELLENO 1-1/2" X 5' X 1/8"</t>
  </si>
  <si>
    <t>CINTA SEMICONDUCT 3/4" X 0030" X 15 # 13</t>
  </si>
  <si>
    <t>CINTA AISLANTE ELECTRICA N° 35 (COLORES PARA IDENTIFICAR FASES).</t>
  </si>
  <si>
    <t>CINTA DE ATERRAMIENTO N° 25</t>
  </si>
  <si>
    <t>ACEITE DIELECTRICO</t>
  </si>
  <si>
    <t>TB</t>
  </si>
  <si>
    <t>AISLADOR POLIMERICO SUSP DIST AG 23,9KV</t>
  </si>
  <si>
    <t>AISLADOR SUSP POLIM 17.5KV DF360MM 45KN</t>
  </si>
  <si>
    <t>AISL.SUSP POLIMERICO 36KV 760MM 45KN</t>
  </si>
  <si>
    <t>AISLADOR CARRETE PERCHA 53.2CL</t>
  </si>
  <si>
    <t>COPA TERM/TERM/CALIEN/EXTER 4-1/0 15KV</t>
  </si>
  <si>
    <t>COPA TERM/TERM/CALI/EXTER 2/0-350MCM15KV</t>
  </si>
  <si>
    <t>COPA TERMINAL 34.5KV 4/0 A 500MCM EXTER</t>
  </si>
  <si>
    <t>COPA TERMINAL INTERIOR 15KV 500MCM</t>
  </si>
  <si>
    <t>COPA TERMINAL INTER 15KV 1000MCM</t>
  </si>
  <si>
    <t>COPA TERMINAL EXTERIOR 15KV 500MCM</t>
  </si>
  <si>
    <t>COPA TERM EXT USO CONV 15KV400 1000MCM</t>
  </si>
  <si>
    <t>CONO ESFUERZO T/EXT 1P 15KV 2-2/0 AWG</t>
  </si>
  <si>
    <t>CONO ESFUERZO T/EXT 1P 15KV 250 MCM</t>
  </si>
  <si>
    <t>CONECTOR COMP CUÑA COBRE 2/0 A 2/0AWG</t>
  </si>
  <si>
    <t>CONECTOR COMPRESION AUTOMATICO 1/0AWG</t>
  </si>
  <si>
    <t>CONECTOR TIPO TORNILLO BRONCE "U" KS-23 (6-2 / 14) AWG.</t>
  </si>
  <si>
    <t>CONECTOR CU-AL TIPO "U" KSU-25 2-1/0</t>
  </si>
  <si>
    <t>CONECTOR CU-AL TIPO "U" KSU-26 2-2/0A</t>
  </si>
  <si>
    <t>CONECTOR CU-AL TIPO "U" KSU-29 250MCM</t>
  </si>
  <si>
    <t>CONECTOR COMPRESION AUTOMATICO 2AWG</t>
  </si>
  <si>
    <t>CONECTOR COMPRESION AUTOMATICO 2/0AWG</t>
  </si>
  <si>
    <t>CONECTOR COMPRESION AUTOMATICO 4/0AWG</t>
  </si>
  <si>
    <t>CONEC T/COMP AUT CU COND N° 2AWG</t>
  </si>
  <si>
    <t>CONECTOR COMPRESION BIMETAL 2 A 2/0AWG</t>
  </si>
  <si>
    <t>CONECTOR COMP TERM BIMETAL 2/0AWG 1AGUJ</t>
  </si>
  <si>
    <t>CONECTOR COMP TERM BIMETAL 250KCM 2AGUJ</t>
  </si>
  <si>
    <t>CONECTOR COMP TER BIMETAL 2-1/0AWG 1AGUJ</t>
  </si>
  <si>
    <t>CONECTOR COMP TERM BIMETAL 350KCM 2AGUJ</t>
  </si>
  <si>
    <t>CONECTOR COMP CUÑA BIMET 4/0-250MCM CART</t>
  </si>
  <si>
    <t>CONECTOR T/COMP TERM 2A BIMETAL 2/0</t>
  </si>
  <si>
    <t>CONECTOR CUÑA ESTRIBO C/C 4/0-2</t>
  </si>
  <si>
    <t>CONECTOR COMP TERM BIMETAL 500MCM 2AGUJ</t>
  </si>
  <si>
    <t>GRAPA SENCILLA PARA GUAYA 3/8</t>
  </si>
  <si>
    <t>CONECT COMPRES DERIV AL-CU 1/0 A 1/0 AWG</t>
  </si>
  <si>
    <t>CABLE CU CONCENTR 8AWG 1P 600V PVC-MALLA</t>
  </si>
  <si>
    <t>CABLE AL, TTU NO. 500 MCM</t>
  </si>
  <si>
    <t>CABLE AL, TTU NO. 4/0 AWG</t>
  </si>
  <si>
    <t>CABLE AL, TTU NO. 1/0 AWG</t>
  </si>
  <si>
    <t>CABLE AL, TTU NO. 2 AWG</t>
  </si>
  <si>
    <t>CABLE AL, TTU NO. 4 AWG</t>
  </si>
  <si>
    <t>CABLE CUADRUPLEX NO. 2 AWG</t>
  </si>
  <si>
    <t>CABLE TRIPLEX NO. 2 AWG</t>
  </si>
  <si>
    <t>CABLE TRIPLEX NO. 6 AWG</t>
  </si>
  <si>
    <t>CABLE CU TTU NO. 750 MCM 600V</t>
  </si>
  <si>
    <t>CONDUCTOR AZUSA ARVIDAL 1/0AWG 7H</t>
  </si>
  <si>
    <t>CONDUCTOR ACSR 336.4 KCM 18+1H</t>
  </si>
  <si>
    <t>CONDUCTOR DESNUDO ARVIDAL 4/0AWG 7H</t>
  </si>
  <si>
    <t>CONDUCTOR DESNUDO ARVIDAL 2/0AWG 7H</t>
  </si>
  <si>
    <t>CONDUCTOR AMES ARVIDAL 2AWG 7H</t>
  </si>
  <si>
    <t>CONDUCTOR COBRE SEMIDURO 4AWG SOLIDO</t>
  </si>
  <si>
    <t>CABLE TTU COBRE 1/0AWG 600V 19H 90°C</t>
  </si>
  <si>
    <t>CABLE TTU COBRE 2AWG 600V 7H 90°C</t>
  </si>
  <si>
    <t>CABLE TTU COBRE 4AWG 600V 7H 90°C</t>
  </si>
  <si>
    <t>CABLE TTU COBRE 6AWG 600V 7H 90°C</t>
  </si>
  <si>
    <t>CABLE TTU PE-PVC 250KCM 600V 37H 75°C</t>
  </si>
  <si>
    <t>CABLE TTU PE-PVC 350KCM 600V 37H 75°C</t>
  </si>
  <si>
    <t>CABLE TTU COBRE 4/0 AWG 600V 19H 75°C</t>
  </si>
  <si>
    <t>CABLE TTU COBRE 500KCM 600V 37H 75°C</t>
  </si>
  <si>
    <t>CONDUCTOR CU CONCENTRICO2X8+1X10AWG 600V</t>
  </si>
  <si>
    <t>CABLE AL CUADRUPLEX 1/0AWG 3P MENS 600V</t>
  </si>
  <si>
    <t>CABLE AL CUADRUPLEX 4/0AWG 3P MENS 600V</t>
  </si>
  <si>
    <t>CABLE AL CUADRUPLEX 4AWG 3P Y MENS 600V</t>
  </si>
  <si>
    <t>CABLE AL TRIPLEX 1/0AWG 19H 2P/MENS 600V</t>
  </si>
  <si>
    <t>CABLE AL TRIPLEX 4/0AWG 19H 2P/MENS 600V</t>
  </si>
  <si>
    <t>CABLE AL TRIPLEX 4AWG 2P Y MENSAJERO600V</t>
  </si>
  <si>
    <t>CABLE CU 2/0AWG 19H TR-XLPE-LLDPE 1P 15K</t>
  </si>
  <si>
    <t>CABLE CU 250MCM 61H1P600VPLT-PVC A/FUEGO</t>
  </si>
  <si>
    <t>CABLE CU 500MCM 37H TR-XLPE-LLDPE 1P 15K</t>
  </si>
  <si>
    <t>CABLE CU DESNUDO 2/0AWG 19H TR BLANDO 1P</t>
  </si>
  <si>
    <t>CABLE CU DESNUDO 250KCM 37H TR BLANDO 1P</t>
  </si>
  <si>
    <t>CABLE CU DESNUDO 2AWG 7H TR DURO 1P</t>
  </si>
  <si>
    <t>CABLE CU DESNUDO 500KCM 37H TR BLANDO 1P</t>
  </si>
  <si>
    <t>CABLE CU DESNUDO 6AWG, 7H TR DURO 1P</t>
  </si>
  <si>
    <t>CABLE MONOP COBRE PANT 15KV 2/0AWG 19H</t>
  </si>
  <si>
    <t>CABLE MONOP COBRE PANT 15KV 250MCM 37H</t>
  </si>
  <si>
    <t>CABLE MONOP CU PANTALL 15KV 2AWG 19H 90º</t>
  </si>
  <si>
    <t>CABLE MONOP CU PANTA 15KV 500MCM 37H 90º</t>
  </si>
  <si>
    <t>CABLE MONOP COBRE PANT 15KV 350MCM 37H</t>
  </si>
  <si>
    <t>CABLE THW COBRE 10AWG 600V 7H TRENZ 75°C</t>
  </si>
  <si>
    <t>CABLE CONTROL CU 7X12AWG PVC PVC 600V</t>
  </si>
  <si>
    <t>CABLE THW COBRE 12AWG 7H TRENZ 600V 75°C</t>
  </si>
  <si>
    <t>CABLE MONOP COBRE PANT 15KV 4/0AWG 19H</t>
  </si>
  <si>
    <t>CABLE CU TTU 600V 2/0 AWG 19H 75°</t>
  </si>
  <si>
    <t xml:space="preserve">REGULADORES </t>
  </si>
  <si>
    <t>REGULADOR TENSION MONOF 552KVA 13.8KV</t>
  </si>
  <si>
    <t>REGULADOR TENSION MONOF 333KVA 34.5KV</t>
  </si>
  <si>
    <t>REGULADOR TENSION MONOF 276KVA 13.8KV</t>
  </si>
  <si>
    <t>REGULADOR TENSION MONOF 833KVA 34.5KV</t>
  </si>
  <si>
    <t>Regulador de voltaje monofásico tipo VR-32 (32 pasos), +/- 10%, 34500 V Y - 19920 V Delta, 60 Hz Rise, 55/65C Rise, 200 kVA, 100/112 A. Incluye bypass switch.</t>
  </si>
  <si>
    <t xml:space="preserve">RECONECTADORES </t>
  </si>
  <si>
    <t>RECONECTADOR VACIO 13.8KV 110KV 560A</t>
  </si>
  <si>
    <t xml:space="preserve">INTERRUPTORES </t>
  </si>
  <si>
    <t>INTERRUPTOR POTE VACIO 34.5 KV SF6 1250A LLEGADA</t>
  </si>
  <si>
    <t>INTERRUPTOR POTE VACIO 13.8 KV SF6 2000A LLEGADA</t>
  </si>
  <si>
    <t>INTERRUP POT VACIO 13,8 KV SF6 1250A</t>
  </si>
  <si>
    <t>INTERRUP POT VACIO 34,5 KV SF6 630A</t>
  </si>
  <si>
    <t>INT TRANSF/AUT VACIO 3F 600A 15KV BASICO</t>
  </si>
  <si>
    <t>IGNITOR LAMP VAP NA 208/240V 400W</t>
  </si>
  <si>
    <t>IGNITOR P/LUMINARIA NA 100 W</t>
  </si>
  <si>
    <t>IGNITOR LAMP VAP NA 120V 150W</t>
  </si>
  <si>
    <t>BALASTO DE 100W NA 120V REACTOR</t>
  </si>
  <si>
    <t>BALASTO LUMINARIA V/S 150W 110/120V</t>
  </si>
  <si>
    <t>BALASTO P/LAMP DE V/SODIO 150W 208-240V</t>
  </si>
  <si>
    <t>BALASTO P/LUMIN. 250W NA/208/240V</t>
  </si>
  <si>
    <t>BALASTO LUMIN VAP NA 208/240V 400W</t>
  </si>
  <si>
    <t>BOMBILLO MET HAL 208/240V 150W CLARA</t>
  </si>
  <si>
    <t>BOMBILLO MET HAL 208/240V 250W TUBUL</t>
  </si>
  <si>
    <t>BOMBILLO MET HAL 208/240V 400W TUB CLARA</t>
  </si>
  <si>
    <t>LAMPARA VAPOR SODIO 120V 100W E40</t>
  </si>
  <si>
    <t>LAMPARA VAPOR SODIO 220V 150W E40</t>
  </si>
  <si>
    <t>LAMPARA VAPOR SODIO 208-240V 250W E40</t>
  </si>
  <si>
    <t>LAMPARA VAPOR SODIO 220V 400W E40</t>
  </si>
  <si>
    <t>CAJAS DE CONTROL DE A.P. 2X60 AMP.</t>
  </si>
  <si>
    <t>RELE CONTR ALUMBRADOPUBLICO2P240/480 V 6</t>
  </si>
  <si>
    <t>CAJA EQUIPO CONTROL ALUMBRADO PUBLICO</t>
  </si>
  <si>
    <t>CONDENSADOR DE 20 M.F. 330 V, P/ LUMINAR</t>
  </si>
  <si>
    <t>CONDENSADOR 30UF 330V P/LUMIN. V/NA 250W</t>
  </si>
  <si>
    <t>CONDENSADOR P/LUMINARIA DE 40 UF</t>
  </si>
  <si>
    <t>CONTACTOR TRIPOLAR 120/240V 150A</t>
  </si>
  <si>
    <t>CONTACTOR AP 3P 500V 110A BOBINA 120V</t>
  </si>
  <si>
    <t>CONTACTOR TIPO AC-1, 160A, BOBINA 240V</t>
  </si>
  <si>
    <t>BASE SOPORTE INTERRUP FOTOELEC 120-240V</t>
  </si>
  <si>
    <t>INTERRUPTOR FOTOELECTRICO NA 120V</t>
  </si>
  <si>
    <t>INTERRUPTOR FOTOELECTRICO NC 120-240V</t>
  </si>
  <si>
    <t>LUMINARIA VS 100W 120V CUTOFF GUIRNALDA</t>
  </si>
  <si>
    <t>LUMINARIA PARA LAMPARA VAPOR NA 100 W</t>
  </si>
  <si>
    <t>LUMINARIA DE NA 150 W 208/240 V</t>
  </si>
  <si>
    <t>LUMINARIA VAPOR SODIO 208-240V 250W E40</t>
  </si>
  <si>
    <t>LUMINARIA VAPOR SODIO 208/240V 400W E40</t>
  </si>
  <si>
    <t>ADAPTADOR DE PORCELANA DE SOCATE E27 A SOCATE E40 (AMPLIADOR)</t>
  </si>
  <si>
    <t>LUMIN LED AP 68-102W EQ NA ALTPRES 150W</t>
  </si>
  <si>
    <t>LUMIN LED AP 129-194W EQ NA ALTPRES 250W</t>
  </si>
  <si>
    <t>LUMIN LED AP 219-330W EQ NA ALTPRES 400W</t>
  </si>
  <si>
    <t>ARRANCADOR P/LUMIN SODIO A/P 250W 220V</t>
  </si>
  <si>
    <t>FUSIBLE CART CAJA ALUMB PUBLICO 600V 60A</t>
  </si>
  <si>
    <t xml:space="preserve">HERRAJES </t>
  </si>
  <si>
    <t>FLEJE DE 5/8"</t>
  </si>
  <si>
    <t>CRUCETA DE 2,40 M ( 8' )</t>
  </si>
  <si>
    <t>CRUCETA DE 1,80 M ( 6' )</t>
  </si>
  <si>
    <t>ABRAZADERA 6-6 1/2" 3 T</t>
  </si>
  <si>
    <t>ABRAZADERA 5-5 1/2" 3 T</t>
  </si>
  <si>
    <t>ABRAZADERA 4-4 1/2" 3 T</t>
  </si>
  <si>
    <t>ABRAZADERA 3-3 1/2" 3 T</t>
  </si>
  <si>
    <t>ABRAZADERA 5-5 1/2" 4 T</t>
  </si>
  <si>
    <t>ABRAZADERA 4-4 1/2" 4 T</t>
  </si>
  <si>
    <t>ABRAZADERA 3-3 1/2" 4 T</t>
  </si>
  <si>
    <t>ABRAZADERA 6-6 1/2" 4 T</t>
  </si>
  <si>
    <t>ABRAZADERA PARA TRANSFORMADOR DE 4-6"</t>
  </si>
  <si>
    <t>ABRAZADERA PARA TRANSFORMADOR DE 3-4"</t>
  </si>
  <si>
    <t>PERNO DE 2 1/2" X 1/2" PARA ABRAZADERA</t>
  </si>
  <si>
    <t>PERNO DE 2 X 5/8" PARA ABRAZADERA</t>
  </si>
  <si>
    <t>PERNOS 1 1/4 X 3/8 PARA PLATINA</t>
  </si>
  <si>
    <t>PERNOS 2 1/2" X 1/2" CON TUERCAS</t>
  </si>
  <si>
    <t>PERNOS DE ACERO INOXIDABLES DE 2 1/2" X</t>
  </si>
  <si>
    <t>PERNOS DE ACERO INOXIDABLES DE 2" X 1/2"</t>
  </si>
  <si>
    <t>GRILLETES GALVANIZADOS 5/8"</t>
  </si>
  <si>
    <t>TUERCA DE OJO DE 5/8"</t>
  </si>
  <si>
    <t>PERNO DE 2 X 1/2" DE DIAMETRO GALVANIZAD</t>
  </si>
  <si>
    <t>PERNO HEXAGONAL DE 2 X 5/8" P/PLANCHA</t>
  </si>
  <si>
    <t>HORQUILLA BOLA (BALL CLEVIS)</t>
  </si>
  <si>
    <t>HORQUILLA GUARDACABOS(THIMBLES CLEVIS)</t>
  </si>
  <si>
    <t>PALILLO (PIN) CORTO AISLADOR 15KV.</t>
  </si>
  <si>
    <t>HEBILLA ACERO INOXIDABLE FLEJE 5/8"</t>
  </si>
  <si>
    <t>CA</t>
  </si>
  <si>
    <t>PERNO AG RSC ½ X 1 ½" , CON TUERCA</t>
  </si>
  <si>
    <t>PERNO AG ROSCA ½ X 4 ½", CON TUERCA</t>
  </si>
  <si>
    <t>PERNO AG ROSCA 5/8 X 1 ½", CON TUERCA</t>
  </si>
  <si>
    <t>PERNO AG RSC 5/8 X 8", CON TUERCA</t>
  </si>
  <si>
    <t>PERNO AG RSC 3/8 X 1 ½", CON TUERCA</t>
  </si>
  <si>
    <t>PERNO ROSCADO A TODO LO LARGO 5/8X12"</t>
  </si>
  <si>
    <t>PERNO AG DOBLE RSC 5/8 X 18"</t>
  </si>
  <si>
    <t>VARILLA AG PARA VIENTO 5/8"X1,83M (6')</t>
  </si>
  <si>
    <t>PERNO GALV. 1/2 X 1". TIPO M12X16MM</t>
  </si>
  <si>
    <t>PRESILLA 1 PERNO P/SUJECION DE GUAYA</t>
  </si>
  <si>
    <t>PRESILLA 3 PERNOS P/SUJECION DE GUAYA</t>
  </si>
  <si>
    <t>TUERCA DE OJO ACERO GALVANIZADO 5/8"</t>
  </si>
  <si>
    <t>GUAYA A/G 3/8" 9,52MM</t>
  </si>
  <si>
    <t>PALILLO AG (PIN) CORTO 35 KV ANSI 56-3</t>
  </si>
  <si>
    <t>PALILLO 280X19X34.9X200MM 22KV AIS/CRUCE</t>
  </si>
  <si>
    <t>PERCHA 421/2X32/3X0.1" 5 AISLADOR</t>
  </si>
  <si>
    <t>PERCHA 342/3X32/3X0.1" 4 AISLADOR</t>
  </si>
  <si>
    <t>ANCLA EXPANSION 180X15,9X152MM 6X5/8"</t>
  </si>
  <si>
    <t>GRAPA 9.52MM 3/8 " GUAYA</t>
  </si>
  <si>
    <t>PERNO OJO 114X15.9X12.7MM</t>
  </si>
  <si>
    <t>PERNO 15.90X400MM 5/8X16" ROSCA CORRIDA</t>
  </si>
  <si>
    <t>PERNO R/CORRIDA 5/8X18" 15.90X450MM</t>
  </si>
  <si>
    <t>PERNO ROSCADO 5/8"X10" 15,90X250MM</t>
  </si>
  <si>
    <t>PERNO ROSCA 5/8X8" ACERO GALVANIZADO</t>
  </si>
  <si>
    <t>PLETINA A/G 30"</t>
  </si>
  <si>
    <t>ASIENTO 7.62X5.08X2.69 CM PERCHA</t>
  </si>
  <si>
    <t>CRUCETA ACERO GALV 1800X75X75X8MM 1.80M</t>
  </si>
  <si>
    <t>CRUCETA H/G 3200X75X75X8MM 3.20M</t>
  </si>
  <si>
    <t>CRUCETA ACERO GALV 2400X75X75X8MM 2.40M</t>
  </si>
  <si>
    <t>PERCHA P/3 AISL</t>
  </si>
  <si>
    <t>BARRA ANCLAJE 15.90X2400M 5/8 X 8" 1 OJO</t>
  </si>
  <si>
    <t>BARRA ANCLAJE 5/8 X 6" 15.9X1800MM 1 OJO</t>
  </si>
  <si>
    <t>BARRA COPERWEL 15.90x2400MM 5/8X8" TIERR</t>
  </si>
  <si>
    <t>ADAPTADOR CRUCETA 5X4X13/4X0.1" D.11/16"</t>
  </si>
  <si>
    <t>TORNILLO T/MAQ 3/8X1 1/2" C/TUERCA HEXAG</t>
  </si>
  <si>
    <t>TORNILLO CARRUAJE HEX 5/8X11/2" R/CORR</t>
  </si>
  <si>
    <t>PERNO DE OJO 5/8" X 2-3/8"</t>
  </si>
  <si>
    <t>PERNO ROSCADO AC GAL 5/8X12" TUERC/ARAND</t>
  </si>
  <si>
    <t>TORNILLO ROSCADO 1/2"X2" C/TUERCA</t>
  </si>
  <si>
    <t>TORNILLO ROSCADO 5/8"X2" C/TUERCA</t>
  </si>
  <si>
    <t>TORNILLO ROSCADO 5/8"X2-1/2" C/TUERCA</t>
  </si>
  <si>
    <t>AMARRE TMNL PREFOR CBLE 1/0AWG L:66.04CM</t>
  </si>
  <si>
    <t>AMARRE TMNL PREFRM CBLE 4/0AWG L:86.36CM</t>
  </si>
  <si>
    <t>ESPIGA RECTA AC GALV 3/4"DIAM X 6"C/ROSC</t>
  </si>
  <si>
    <t>PERRO ACERO FORJADO GALV 1/2" DIAM</t>
  </si>
  <si>
    <t>PLETINA ACERO GALV 710X6.4MM 28X1/4"</t>
  </si>
  <si>
    <t>PLETINA ACERO GALV 813X6.4MM 32X1/4"</t>
  </si>
  <si>
    <t>PERNO CARRUAJE 1/2"DIAM X 1-1/2"LONG C/T</t>
  </si>
  <si>
    <t>PERNO CARRUAJE 5/8"DIAM X 1-3/4"LONG C/T</t>
  </si>
  <si>
    <t>PERNO CARRUAJE 5/8"DIAM X 4"LONG C/T </t>
  </si>
  <si>
    <t>PERNO CARRUAJE 5/8"DIAM X 6"LONG C/T </t>
  </si>
  <si>
    <t>ARANDELA PLANA 1/2" BRONCE SILICIO </t>
  </si>
  <si>
    <t>ARANDELA PRES:1/2"BRONC-SI ESP:317X434MM </t>
  </si>
  <si>
    <t>TORNILLO BRONCE-SILICIO _1/2"-X 2" </t>
  </si>
  <si>
    <t>TUERCA HEXO _ 1/2" BRONCE-SILICIO </t>
  </si>
  <si>
    <t>TORNILLO DE CARRUAJE DE 4 1/2 X 5/8</t>
  </si>
  <si>
    <t>POSTE METALICO HEX. DE ALTURA HP 10 MTS</t>
  </si>
  <si>
    <t>BRAZO TIPO LATIGO DOBLE DE 2,40 MTS</t>
  </si>
  <si>
    <t>BRAZO TIPO LATIGO SENCILLO DE 2,40 MTS</t>
  </si>
  <si>
    <t>ESTRUCTURA 2 X 45' 5 1/2"</t>
  </si>
  <si>
    <t>ESTRUCTURA 2 X 40' 4 1/2"</t>
  </si>
  <si>
    <t>ESTRUCTURA 2 X 36' 4 1/2"</t>
  </si>
  <si>
    <t>ESTRUCTURA 2 X 27' 3 1/2"</t>
  </si>
  <si>
    <t>POSTE ACERO 12,20M (40PIE) 30.000LBS-PIE</t>
  </si>
  <si>
    <t>POSTE ACERO 9.14M 266KG</t>
  </si>
  <si>
    <t>POSTE A/G 11,28M EC=211KG</t>
  </si>
  <si>
    <t>POSTE A/G 12,20M EC=437KG</t>
  </si>
  <si>
    <t>POSTE ACERO GALVANIZADO 8.23M 116KG</t>
  </si>
  <si>
    <t>POSTE ACERO 11.28M 211KG LIVIANO</t>
  </si>
  <si>
    <t>POSTE ACERO 12.20M 282KG LIVIANO</t>
  </si>
  <si>
    <t>POSTE ACERO 12.20 M 437KG PESADO</t>
  </si>
  <si>
    <t>POSTE ACERO 13.72M 388KG PESADO</t>
  </si>
  <si>
    <t>POSTE ACERO 13.72M 250KG</t>
  </si>
  <si>
    <t>POSTE ACERO 8.23M 116KG LIVIANO</t>
  </si>
  <si>
    <t>POSTE ACERO 8.23M 178KG PESADO</t>
  </si>
  <si>
    <t>POSTE ACERO 9.14M 159KG LIVIANO</t>
  </si>
  <si>
    <t>BRAZO DOBLE/LATIGO 1,80 MTS15°POSTE HEX</t>
  </si>
  <si>
    <t>BRAZO SIMPLE ACR T/LATIGO1,8M 15°P/HEXAG</t>
  </si>
  <si>
    <t>MANGUITO P/POSTE DISTRIBUCION Ø 11,43 CM</t>
  </si>
  <si>
    <t>JG</t>
  </si>
  <si>
    <t>MANGUITO P/POSTE DISTRIBUCION Ø 17,78 CM</t>
  </si>
  <si>
    <t>PERNO ANCLAJE GALV-1"X90CM POSTE AP</t>
  </si>
  <si>
    <t>POSTE ACERO HEXAGONAL 11,20 MTS. A.P.</t>
  </si>
  <si>
    <t>POSTE TUBULAR ACERO 14.10M 3SECC REFORZ</t>
  </si>
  <si>
    <t>TDI 1F 7200-4800V/120-240 V 100 KVA</t>
  </si>
  <si>
    <t>TRF INTEMP 1F 25KVA 4800X7200V-120/240V</t>
  </si>
  <si>
    <t>TDI 1F 7200-4800/120-240V 50 KVA</t>
  </si>
  <si>
    <t>TRF SUM 1F 4800X7200V-120/240V 50KVA</t>
  </si>
  <si>
    <t>TRF SUM 1F 4800X7200V-120/240V 100KVA</t>
  </si>
  <si>
    <t>TRF SUM 1F 4800X7200V-120/240V 167KVA</t>
  </si>
  <si>
    <t>TRF SUM 1F 4800X7200V-120/240V 250KVA</t>
  </si>
  <si>
    <t>TRF SUM 1F 4800X7200V-120/240V 333KVA</t>
  </si>
  <si>
    <t>TRF SUM 1F 4800X7200V-120/240V 500KVA</t>
  </si>
  <si>
    <t>TDI 1F 13800/120-240V 25KVA</t>
  </si>
  <si>
    <t>TRANSF 3F 13800-208Y/120V 750KVA</t>
  </si>
  <si>
    <t>TRF SUM 3F 13800-208Y/120V 500KVA</t>
  </si>
  <si>
    <t>TDI 1F 13800/120-240V 37,5KVA</t>
  </si>
  <si>
    <t>TDI 1F 13800/120-240V 50KVA</t>
  </si>
  <si>
    <t>TRF PED 3F 150KVA 13800-208Y/120V</t>
  </si>
  <si>
    <t>TDP 13800D/120-208V 300KVA</t>
  </si>
  <si>
    <t>TDP 3F 23900Y/120-208V 150KVA RA</t>
  </si>
  <si>
    <t>TDP 3F 23900Y/120-208V 225KVA RA</t>
  </si>
  <si>
    <t>TDP 3F 23900Y/120-208V 300KVA RA</t>
  </si>
  <si>
    <t>TDP 3F 23900Y/120-208V 500KVA RA</t>
  </si>
  <si>
    <t>TDP 3F 23900Y/120-208V 75KVA AN</t>
  </si>
  <si>
    <t>TDP 3F 23900Y/120-208V 150KVA AN</t>
  </si>
  <si>
    <t>TDP 3F 23900Y/120-208V 225KVA AN</t>
  </si>
  <si>
    <t>TDP 3F 23900Y/120-208V 300KVA AN</t>
  </si>
  <si>
    <t>TDP 3F 23900Y/120-208V 500KVA AN</t>
  </si>
  <si>
    <t>TDP 3F 23900Y/120-208V 750KVA AN</t>
  </si>
  <si>
    <t>TDI 1F 13800/120-240V 100KVA</t>
  </si>
  <si>
    <t>TDI 1F 13800/240-480V 250KVA</t>
  </si>
  <si>
    <t>TDI 1F 13800/240-480V 333KVA</t>
  </si>
  <si>
    <t>TDPOENEL 1F 13,8KV 120/240 75KVA</t>
  </si>
  <si>
    <t>TDI 1F 13800/120-240V 15KVA</t>
  </si>
  <si>
    <t>TDI 1F 13800/120-240V 167,5KVA</t>
  </si>
  <si>
    <t>TRF SUM 3F 750KVA 4800X12470V-208Y/120V</t>
  </si>
  <si>
    <t>TRF SUM 3F 1000KVA 4800X12470V-208Y/120V</t>
  </si>
  <si>
    <t>TRF PEDEST 3F 12470/7200-208/120 300KVA</t>
  </si>
  <si>
    <t>TRF PEDEST 3F 12470/7200-208/120 500KVA</t>
  </si>
  <si>
    <t>TRF PEDEST 3F 12470/7200-208/120 750KVA</t>
  </si>
  <si>
    <t>TDI 1F 13800/120-240V 75KVA</t>
  </si>
  <si>
    <t>TDI 1F 34500/120-240V 25KVA</t>
  </si>
  <si>
    <t>TDI 1F 34500/120-240V 37,5KVA</t>
  </si>
  <si>
    <t>TDI 1F 3450000/120-240V 50KVA</t>
  </si>
  <si>
    <t>TDI 1F 3450000/120-240V 75KVA</t>
  </si>
  <si>
    <t>AISLADOR DE ESPIGA PARA 34,5 KV</t>
  </si>
  <si>
    <t>FUSIBLE TIPO K 6 AMP</t>
  </si>
  <si>
    <t>FUSIBLE TIPO K 30 AMP</t>
  </si>
  <si>
    <t>FUSIBLE TIPO K 40 AMP</t>
  </si>
  <si>
    <t>FUSIBLE TIPO K 65 AMP</t>
  </si>
  <si>
    <t>CINTA AISLANTE VINILO 105 °C 600 V</t>
  </si>
  <si>
    <t>CINTA AISLANTE GOMA 90 °C, 69.000</t>
  </si>
  <si>
    <t>AISLADOR PORCELANA BASE ANSI TR04</t>
  </si>
  <si>
    <t>CUBO AG PARA AISLADOR BASE ANSI TR04</t>
  </si>
  <si>
    <t>AISLADOR PORCELAN ESPIGA ANSI 56-3 35 KV</t>
  </si>
  <si>
    <t>AISLADOR PORCELAN PEDESTA ANSI 57-3 35KV</t>
  </si>
  <si>
    <t>AISLADOR PORCELANA CAMPANA ANTIFOG 24 KV</t>
  </si>
  <si>
    <t>AISLADOR DE TRACCION PARA GUAYA DE ACERO</t>
  </si>
  <si>
    <t>CONECTOR CU P/PUESTA A TIERRA NO. 2 AWG</t>
  </si>
  <si>
    <t>CONECTOR CU P/PUESTA A TIERRA NO. 6 AWG</t>
  </si>
  <si>
    <t>CONECTOR TERMINAL 1/0</t>
  </si>
  <si>
    <t>CONECTOR TERMINAL 4/0</t>
  </si>
  <si>
    <t>CONECTOR AL COMP. TERMINAL 750 MCM</t>
  </si>
  <si>
    <t>CONECTOR CU P/PUESTA TIERRA 3/8"EN POSTE</t>
  </si>
  <si>
    <t>CONECTOR AL DERIV. COMP. 250 A 500 MCM</t>
  </si>
  <si>
    <t>CONECTOR COMP. TUBULAR LARGO 1/0 X 1/0</t>
  </si>
  <si>
    <t>CONECTOR COMP. TUBULAR CORTO 336,4 MCM</t>
  </si>
  <si>
    <t>CONECTOR COMP. TUBULAR LARGO 336,4 MCM</t>
  </si>
  <si>
    <t>CONECTOR COMP.TERMINAL ALCU 336,4 MCM</t>
  </si>
  <si>
    <t>CONECTOR COMP. TUBULAR CORTO 1/0 X 1/0</t>
  </si>
  <si>
    <t>CONECTOR CU PERMAGRIP CAL. 8 2/0 AWG</t>
  </si>
  <si>
    <t>CONECTOR TERMINAL BIMETALICO PLUG 1/0AWG</t>
  </si>
  <si>
    <t>CONECTOR TERMINAL 500</t>
  </si>
  <si>
    <t>CONECTOR TERMINAL 750</t>
  </si>
  <si>
    <t>CONDUCTOR CONCENTRICO 2X10</t>
  </si>
  <si>
    <t>CONDUCTOR CONCENTRICO 2X6+1X8</t>
  </si>
  <si>
    <t>CONDUCTOR CONCENTRICO 2X4+1X6</t>
  </si>
  <si>
    <t>CABLE CU TTU 2/0</t>
  </si>
  <si>
    <t>CABLE CU TTU 4/0</t>
  </si>
  <si>
    <t>CABLE CU XLPE NO 750 MCM 25.000V</t>
  </si>
  <si>
    <t>CONDUCTOR AL ALENT 1/0 AWG POPPY</t>
  </si>
  <si>
    <t>CONDUCTOR AL ALENT 336,4 MCM TULIP</t>
  </si>
  <si>
    <t>CABLE CU THW NO. 6 AWG 600V</t>
  </si>
  <si>
    <t>CABLE CU THW NO. 4 AWG 600V</t>
  </si>
  <si>
    <t>CONDUCTOR CONCENTRICO 2X18</t>
  </si>
  <si>
    <t>FOTOCELDA NC TIPO ENCHUFE 10 A 120/240V</t>
  </si>
  <si>
    <t>ALAMBRE CU BLANDO SOLIDO NO.4 AWG</t>
  </si>
  <si>
    <t>CABEZOTE 5/8 PULG PARA VARILLA DE TIERRA</t>
  </si>
  <si>
    <t>ESTRIBO(ARQUITO)BIMETALICO CAL.336,4MCM</t>
  </si>
  <si>
    <t>ESTRIBO (ARQUITO) BIMETALICO CAL.1/0 AWG</t>
  </si>
  <si>
    <t>CRUCETA ACERO GALVANIZADO 3,66 M (12')</t>
  </si>
  <si>
    <t>PLETINA AG CONTRACRUCETA 914,4MM(36")</t>
  </si>
  <si>
    <t>ABRAZADERA UNIVERSAL AG 45", 4 TORN</t>
  </si>
  <si>
    <t>MALLAS 1/0 ALEN</t>
  </si>
  <si>
    <t>MALLAS 336 ALEN</t>
  </si>
  <si>
    <t>TERMINAL TIPO CODO 200 A 25KV LODBREAK</t>
  </si>
  <si>
    <t>TERMINAL TIPO CODO 200 A 25KV DEADBREAK</t>
  </si>
  <si>
    <t>TORNILLO BRONCE 1/2X21/2PLG C/TUERCAS</t>
  </si>
  <si>
    <t>PALILLO AG (PIN) CORTO 35 KV ANSI 57-3</t>
  </si>
  <si>
    <t>GUAYA DE ACERO GALV. DE 5/16" (7,94 MM)</t>
  </si>
  <si>
    <t>TDPOELCO 1F 34,5-19,2KV / 120-240V 15KV</t>
  </si>
  <si>
    <t>TDPOELCO 1F 34,5-19,2KV / 120-240V 25KVA</t>
  </si>
  <si>
    <t>TDPOELCO 1F 34,5-19,92KV /120-240V 37KVA</t>
  </si>
  <si>
    <t>TDPOELCO 1F 34,5-19,2KV / 120-240V 75KVA</t>
  </si>
  <si>
    <t>TDPOELCO 1F 34,5-19,2KV / 120-240V 100KV</t>
  </si>
  <si>
    <t>AISLADORES_Y_COPAS</t>
  </si>
  <si>
    <t>CABLES_Y_CONDUCTORES</t>
  </si>
  <si>
    <t xml:space="preserve">TEIPES_CINTAS_Y_OTROS_AISLANTES </t>
  </si>
  <si>
    <t>ESTRUCTURA O POSTE</t>
  </si>
  <si>
    <t>SOLICITUD DE MEDIDOR</t>
  </si>
  <si>
    <t>ELECTRIFICACION O FUERA DE RED</t>
  </si>
  <si>
    <t>SOLIICTUD DE FACTURA</t>
  </si>
  <si>
    <t>OTRO REQUERIMIENTO</t>
  </si>
  <si>
    <t>REQUIERE DE MANTENIMIENTO</t>
  </si>
  <si>
    <t>MATERIALES_ALUMBRADO_PUBLICO</t>
  </si>
  <si>
    <t>NOMBRE SUBESTACIÓN</t>
  </si>
  <si>
    <t>OTROS</t>
  </si>
  <si>
    <t>PROTECCIONES</t>
  </si>
  <si>
    <t>AISLAMIENTO</t>
  </si>
  <si>
    <t>ESTRUCTURA</t>
  </si>
  <si>
    <t>NO LISTADA</t>
  </si>
  <si>
    <t>CONDENSADOR</t>
  </si>
  <si>
    <t>SEGURIDAD</t>
  </si>
  <si>
    <t>TENSIONSUBESTACION</t>
  </si>
  <si>
    <t>TENSIONCIRCUITO</t>
  </si>
  <si>
    <t>TIPORESTRICCIONES</t>
  </si>
  <si>
    <t>REGULADORES DE VOLTAJE</t>
  </si>
  <si>
    <t>NIVEL TENSION
ENTRADA</t>
  </si>
  <si>
    <t>COMPONENTE DE LA SUBESTACION</t>
  </si>
  <si>
    <t>TIPO DE EQUIPO O ELEMENTO A NORMALIZAR EN LA SUBESTACION</t>
  </si>
  <si>
    <t xml:space="preserve">EQUIPOSDESUBESTACIONES </t>
  </si>
  <si>
    <t>PRECIOS UNITARIOS EUROS</t>
  </si>
  <si>
    <t>BRAZO 13/4” X 1,5 MTS</t>
  </si>
  <si>
    <t>CONCRETO 180 KG/CM2</t>
  </si>
  <si>
    <t>CONECTOR UW-25R PARA ARVIDAL DEL 2 AL 2/0 AWG</t>
  </si>
  <si>
    <t>ELECTRODOS SOLDADURA</t>
  </si>
  <si>
    <t>FULMINANTE</t>
  </si>
  <si>
    <t>FUSIBLE TIPO TRON</t>
  </si>
  <si>
    <t>MORDAZA TERMINAL DE AL. DEL 2 AL 2/0 AWG</t>
  </si>
  <si>
    <t>PINTURA ALUMINIO</t>
  </si>
  <si>
    <t>GL</t>
  </si>
  <si>
    <t>PINTURA ASFALTICA</t>
  </si>
  <si>
    <t>PORTAFUSIBLE TIPO TRON</t>
  </si>
  <si>
    <t>SOCATES E27</t>
  </si>
  <si>
    <t>TUBO CONDUIT DE 1/2”X 3 MTS</t>
  </si>
  <si>
    <t>BRAZO CORTO 0,80 MTS</t>
  </si>
  <si>
    <t>ZAPATA</t>
  </si>
  <si>
    <t>CONECTORES CRIMPIT 4/6.</t>
  </si>
  <si>
    <t>CONECTORES CRIMPIT 4/12.</t>
  </si>
  <si>
    <t>PERNO CARRUAJE 1"DIAM X 1-1/2"LONG C/T</t>
  </si>
  <si>
    <t>AMARRE TMNL PREFOR CBLE 4 AWG L:66.04CM</t>
  </si>
  <si>
    <t>PRECIO UNITARIO (Euros)</t>
  </si>
  <si>
    <t>ADAPTADOR MODULAR CABLE 250MCM 15KV 600A</t>
  </si>
  <si>
    <t>ADAPTADOR MODULAR CABLE 500kcmil15KV600A</t>
  </si>
  <si>
    <t>ADAPTADOR MODULAR P/CABLE 2/0 15KV 600A</t>
  </si>
  <si>
    <t>ADAPTADOR PUESTA TIERRA 500KCM y 750KCM</t>
  </si>
  <si>
    <t>ADAPTADOR PUESTA-TIERRA 2 Y 2/0 y 250KCM</t>
  </si>
  <si>
    <t>AIRE ACONDICIONADO 24000 BTU, 220 V</t>
  </si>
  <si>
    <t>ANALOGICO</t>
  </si>
  <si>
    <t>ANTENA Y EQUIPOS DE COMUNICACIÒN</t>
  </si>
  <si>
    <t>BANCO DE CAPACITADORES DORES3X50KVA</t>
  </si>
  <si>
    <t>BASE ALTA PARA CONFIGURACIÓN EN "L"</t>
  </si>
  <si>
    <t>BASE BAJA PARA CONFIGURACIÓN EN "U"</t>
  </si>
  <si>
    <t>BASE PARA TRANSFERENCIA AUTOMÁTICA EN VACÍO</t>
  </si>
  <si>
    <t>BATERIA DE 96 VOLTIOS DC</t>
  </si>
  <si>
    <t>CABLE AL 6201 1/0AWG 7H XLPE-HLDP 1P15KV</t>
  </si>
  <si>
    <t>CABLE MONOP CU PANTA 36 KV 500MCM 37H 90º</t>
  </si>
  <si>
    <t>CABLE TTU2/0</t>
  </si>
  <si>
    <t>CAJA DE CONTROL RECONECTADOR NOJA</t>
  </si>
  <si>
    <t>CANDADO</t>
  </si>
  <si>
    <t>CARGADOR DE BATERIAS MARCA JUNPEER O SIMILAR</t>
  </si>
  <si>
    <t>CELDA DE PROTECCIONES EN 34,5 KV</t>
  </si>
  <si>
    <t>CELDAS DE 2.0 VDC, 300 A-H</t>
  </si>
  <si>
    <t>CERCA PERIMETRAL</t>
  </si>
  <si>
    <t>ML</t>
  </si>
  <si>
    <t>CODO N. 2/0</t>
  </si>
  <si>
    <t>Pza</t>
  </si>
  <si>
    <t>M3</t>
  </si>
  <si>
    <t>CONCRETO PARA BASE 210 KG/CM2</t>
  </si>
  <si>
    <t>CONDUCTOR ALUMINIO P/ATAR # 6</t>
  </si>
  <si>
    <t>CONDUCTOR DESNUDO #4 MTS</t>
  </si>
  <si>
    <t>CONECT TMNAL COMPRES CU 2/0AWG 15KV 600A</t>
  </si>
  <si>
    <t>CONECT TMNAL COMPRES CU 250MCM 15KV 600A</t>
  </si>
  <si>
    <t>CONECT TMNAL COMPRES CU 500MCM 15KV 600A</t>
  </si>
  <si>
    <t>DISPOSITIVO AISLANTE ACOPLAMTO 15KV 600A</t>
  </si>
  <si>
    <t>ENCLAV P/CANISTER TR/AUT VACIO</t>
  </si>
  <si>
    <t>ENCLAV P/MOLDEADO TR/AUT VACIO</t>
  </si>
  <si>
    <t>ENT. TRIF. 208,0 VAC, SAL. 120 VDC , 100 A-H</t>
  </si>
  <si>
    <t>ESPARRAGO CONEX MOD 5/8"x1-7/8"15KV 600A</t>
  </si>
  <si>
    <t>ESTRIBO CU-SN PARA LINEA AL 1/0 - 2/0 AWG AT</t>
  </si>
  <si>
    <t>EXTINTOR, POLVO QUÍMICO</t>
  </si>
  <si>
    <t>FUSIBLE MOLDEADO 100 AMP 15KV</t>
  </si>
  <si>
    <t>FUSIBLE MOLDEADO 100 AMP 5KV</t>
  </si>
  <si>
    <t>FUSIBLE MOLDEADO 150 AMP 5KV</t>
  </si>
  <si>
    <t>FUSIBLE MOLDEADO 65 AMP 15KV</t>
  </si>
  <si>
    <t>FUSIBLE MOLDEADO 80 AMP 15KV</t>
  </si>
  <si>
    <t>INTERRUPTOR 2 VIAS AISLADO EN SF6</t>
  </si>
  <si>
    <t>INTERRUPTOR 3 VIAS AISLADO EN SF6</t>
  </si>
  <si>
    <t>INTERRUPTOR 4 VIAS AISLADO EN SF6</t>
  </si>
  <si>
    <t>INTERRUPTOR DE POTENCIA 24KV</t>
  </si>
  <si>
    <t>INTERRUPTOR EN VACÍO TIPO CANISTER</t>
  </si>
  <si>
    <t>INTERRUPTOR EN VACÍO TIPO MOLDEADO</t>
  </si>
  <si>
    <t>INTERRUPTOR POTENCIA VACIO 13,8 KV SF6 1250A</t>
  </si>
  <si>
    <t>INTERRUPTOR POTENCIA VACIO 13,8 KV SF6 2000A</t>
  </si>
  <si>
    <t>INTERRUPTOR POTENCIA VACIO 34,5 KV SF6 1250A</t>
  </si>
  <si>
    <t>INTERRUPTOR POTENCIA VACIO 34,5 KV SF6 630A</t>
  </si>
  <si>
    <t>MALLA DE TIERRA</t>
  </si>
  <si>
    <t>M2</t>
  </si>
  <si>
    <t>MANGA MODULAR AISL D/EXTENSION 15KV 600A</t>
  </si>
  <si>
    <t>MORDAZA DE BRONCE P/COBRE# 2 - 4/0</t>
  </si>
  <si>
    <t>MORDAZA TERM. P/ AMARRE DE CONDUCTORES DESNUDOS DE CU Y AL DESDE 4 – 4/0 AWG</t>
  </si>
  <si>
    <t>MORDAZA TERM.ARV.#336MCM TIPO PISTOLA</t>
  </si>
  <si>
    <t>PIEDRA PICADA NUM 4 Ó 5</t>
  </si>
  <si>
    <t>PINTURA MARINA ( EPOXICA )</t>
  </si>
  <si>
    <t>RADIADORES Y EMPACADURAS DE BUSHINGS</t>
  </si>
  <si>
    <t>RECEPTACULO MODULAR EN "T" 15KV 600A</t>
  </si>
  <si>
    <t>RECONECTADOR DE POTENCIA 24 KV</t>
  </si>
  <si>
    <t>RECONECTADOR VACIO 34,5 KV 150 KV 560A</t>
  </si>
  <si>
    <t>RED O MAYA Y BARRAS PARA PUESTA TIERRA</t>
  </si>
  <si>
    <t>SEÑALIZACIÓN Y ALARMAS</t>
  </si>
  <si>
    <t>SILICA GEL NARANJA GRANULADA BIODEGRADABLE</t>
  </si>
  <si>
    <t>SACO</t>
  </si>
  <si>
    <t>SISTEMADEPUESTAATIERRA</t>
  </si>
  <si>
    <t>SISTEMAS DE CONTROL</t>
  </si>
  <si>
    <t>TELEMANDOS</t>
  </si>
  <si>
    <t>TRANSFERENCIA AUTOMÁTICA EN VACÍO C/PROT</t>
  </si>
  <si>
    <t>TRANSFERENCIA AUTOMÁTICA TIPO RAD 12 KV</t>
  </si>
  <si>
    <t>TRANSFERENCIA AUTOMÁTICA TIPO RAD 4.8 KV</t>
  </si>
  <si>
    <t>TRANSFORMADORES DE CORRIENTE</t>
  </si>
  <si>
    <t>TRANSFORMADORES DE TENSION</t>
  </si>
  <si>
    <t>VARILLA DE ARMADO P/ARVIDAL 336 MCM</t>
  </si>
  <si>
    <t>VARILLA DE ARMADO P/ARVIDAL 4/0 AWG</t>
  </si>
  <si>
    <t>S/U</t>
  </si>
  <si>
    <t>TRANSFORMADORES_DE_MEDIDA</t>
  </si>
  <si>
    <t>MATERIALES_VARIOS</t>
  </si>
  <si>
    <t>BANCO_DE_BATERIAS</t>
  </si>
  <si>
    <t>NO_REQUIERE_MATERIAL</t>
  </si>
  <si>
    <t>COMPONENTES</t>
  </si>
  <si>
    <t>SERVICIOSAUXILIARES</t>
  </si>
  <si>
    <t>SEGURIDADINFRAESTRUCTURA</t>
  </si>
  <si>
    <t>TABLERODECONTROLYMEDICIÓN</t>
  </si>
  <si>
    <t>TRANSFORMADORDEPOTENCIA</t>
  </si>
  <si>
    <t>SUBESTACIONMOVIL</t>
  </si>
  <si>
    <t>BARRAS</t>
  </si>
  <si>
    <t>ESTRUCTURASDESOPORTE</t>
  </si>
  <si>
    <t>TRANSFORMADORESDEMEDICION</t>
  </si>
  <si>
    <t>BANCODECAPACITORES</t>
  </si>
  <si>
    <t>BOBINAS</t>
  </si>
  <si>
    <t>CORTACORRIENTE</t>
  </si>
  <si>
    <t>REACTOR</t>
  </si>
  <si>
    <t>AISLADORESSOPORTE</t>
  </si>
  <si>
    <t>MANTENIMIENTOPREVENTIVO</t>
  </si>
  <si>
    <t>BATERÍAS</t>
  </si>
  <si>
    <t>INTERRUPTOR DE PROTECCION DE CIRCUITO</t>
  </si>
  <si>
    <t>AIRE ACONDICIONADO</t>
  </si>
  <si>
    <t>FUERA DE SERVICIO RECUPERABLE (SUSTITUCION)</t>
  </si>
  <si>
    <t>BARRAS LADO DE ALTA</t>
  </si>
  <si>
    <t>PARARRAYO LADO DE ALTA</t>
  </si>
  <si>
    <t>ESTRUCTURAS DE SOPORTE</t>
  </si>
  <si>
    <t>BANCO DE CAPACITORES</t>
  </si>
  <si>
    <t>AISLADORES SOPORTE</t>
  </si>
  <si>
    <t>PUESTA A TIERRA</t>
  </si>
  <si>
    <t>CARGADOR DE BATERIAS</t>
  </si>
  <si>
    <t>INTERRUPTOR DE PROTECCION DE TRX DE POTENCIA</t>
  </si>
  <si>
    <t>ALUMBRADO EXTERNO</t>
  </si>
  <si>
    <t>FUERA DE SERVICIO NO RECUPERABLE (SUSTITUCION)</t>
  </si>
  <si>
    <t>BARRAS LADO DE BAJA</t>
  </si>
  <si>
    <t>PARARRAYO LADO DE BAJA</t>
  </si>
  <si>
    <t>ACCESORIOS PARA LA INSTALACION</t>
  </si>
  <si>
    <t>CONDUCTOR PARA A TIERRA</t>
  </si>
  <si>
    <t>DIAGNÓSTICO TERMOGRÁFICO</t>
  </si>
  <si>
    <t>EQUIPOS DE PROTECCIÓN.</t>
  </si>
  <si>
    <t>INTERRUPTOR DE PROTECCION DE TRX  DE SERVICIOS AUXILIARES</t>
  </si>
  <si>
    <t>ALUMBRADO INTERNO</t>
  </si>
  <si>
    <t>SOBRE CARGA MAS 100% (SUSTITUCION)</t>
  </si>
  <si>
    <t>SECCIONADORES DE LINEA</t>
  </si>
  <si>
    <t>CONDUCTOR DE CONTROL</t>
  </si>
  <si>
    <t>RECONECTADOR 24 KV</t>
  </si>
  <si>
    <t>CORTACORRIENTE BARRA</t>
  </si>
  <si>
    <t>INFRAESTRUCTURA Y PERÍMETRO</t>
  </si>
  <si>
    <t>EXTRATORES</t>
  </si>
  <si>
    <t>INTERRUPTORES DE ENLACE DE BARRA</t>
  </si>
  <si>
    <t>REQUIERE MANTENIMIENTO MAYOR PARA PUESTA EN SERVICIO</t>
  </si>
  <si>
    <t>SECCIONADORES DE BARRA</t>
  </si>
  <si>
    <t>CAJA DE CONTROL DE RECONECTADOR</t>
  </si>
  <si>
    <t xml:space="preserve">MANTENIMIENTO DE EQUIPOS AUXILIARES </t>
  </si>
  <si>
    <t>MOTORES DE CONTROL</t>
  </si>
  <si>
    <t>INTERRUPTOR</t>
  </si>
  <si>
    <t>DESMALEZAMIENTO DE LA SUBESTACION</t>
  </si>
  <si>
    <t>REQUIERE MANTENIMIENTO MENOR PARA PUESTA EN SERVICIO</t>
  </si>
  <si>
    <t>SECCIONADORES DE PUESTA A TIERRA</t>
  </si>
  <si>
    <t>BATERIA DEL RECONECTADOR</t>
  </si>
  <si>
    <t xml:space="preserve">MUESTRA DE ACEITE DIELÉCTRICO </t>
  </si>
  <si>
    <t>PLANTA DE EMERGENCIA</t>
  </si>
  <si>
    <t>INTERRUPTOR 34,5 kV</t>
  </si>
  <si>
    <t>IMPERMEABILIZACION</t>
  </si>
  <si>
    <t>REQUIERE ADECUACIONES PARA INSTALARSE</t>
  </si>
  <si>
    <t xml:space="preserve">SECCIONADORES DE DERIVACION </t>
  </si>
  <si>
    <t xml:space="preserve">NECESIDADES DE LA PIEDRA PICADA </t>
  </si>
  <si>
    <t>INTERRUPTOR 13,8 kV</t>
  </si>
  <si>
    <t>REQUIERE ACEITE DIELECTRICO PARA PUESTA EN SERVICIO</t>
  </si>
  <si>
    <t>ILUMINACIÓN DE LA SE</t>
  </si>
  <si>
    <t>TRANSFORMADOR DE LOS SERVICIOS AUXILIARES</t>
  </si>
  <si>
    <t>INTERRUPTOR 24 kV</t>
  </si>
  <si>
    <t>SISTEMA CONTRA INCENDIO</t>
  </si>
  <si>
    <t>APLICACIÓN DE TRATAMIENTO QUIMICO</t>
  </si>
  <si>
    <t xml:space="preserve">PRUEBAS A RELES DE PROTECCIONES EN SS/EE </t>
  </si>
  <si>
    <t>FUNCIONAMIENTO DE REMOTAS (COMUNICACIÓN)</t>
  </si>
  <si>
    <t>SECCIONADOR</t>
  </si>
  <si>
    <t>PARARRAYO</t>
  </si>
  <si>
    <t>REGULADOR</t>
  </si>
  <si>
    <t>RECONECTADOR</t>
  </si>
  <si>
    <t>REGION</t>
  </si>
  <si>
    <t>GUAYANA</t>
  </si>
  <si>
    <t>LOS_ANDES</t>
  </si>
  <si>
    <t>ORIENTAL</t>
  </si>
  <si>
    <t>LOS_LLANOS</t>
  </si>
  <si>
    <t>CENTRAL</t>
  </si>
  <si>
    <t>INSULAR</t>
  </si>
  <si>
    <t>OCCIDENTAL</t>
  </si>
  <si>
    <t>ESTATUS</t>
  </si>
  <si>
    <t>PENDIENTE</t>
  </si>
  <si>
    <t>RESUELTO</t>
  </si>
  <si>
    <t>N° DE PRIORIDAD</t>
  </si>
  <si>
    <t>NOMENCLATURA DEL EQUIPO (CÓDIGO QUE IDENTIFICA AL COMPONENTE EN LA SE)</t>
  </si>
  <si>
    <t>ABARAZADERA UNIVERSAL 6 A 6 3/4” X 3/8”</t>
  </si>
  <si>
    <t>ABRAZADERA 3 1X 3 1/2"X 3/4"</t>
  </si>
  <si>
    <t>ABRAZADERA 4 -4 1/2" X 3/8"REFORZADO</t>
  </si>
  <si>
    <t>ABRAZADERA UNIVERSAL 6 A 6 3/4” X 3/8”</t>
  </si>
  <si>
    <t>ABRAZADERAS 4" A 4 1/2</t>
  </si>
  <si>
    <t>ADAPTADOR MODULAR CABLE # 2 MCM 15KV 600A</t>
  </si>
  <si>
    <t>ADAPTADOR MODULAR CABLE #2KCMIL15KV600A</t>
  </si>
  <si>
    <t>ADAPTADOR MODULAR CABLE 2/0KCMIL15KV600A</t>
  </si>
  <si>
    <t>ADAPTADOR MODULAR CABLE 2/0 MCM 15KV 600A</t>
  </si>
  <si>
    <t>ADAPTADOR MODULAR CABLE 250</t>
  </si>
  <si>
    <t>ADAPTADOR MODULAR CABLE 250KCMIL15KV600A</t>
  </si>
  <si>
    <t>ADAPTADOR MODULAR CABLE 500MCM 15KV 600A</t>
  </si>
  <si>
    <t>ADAPTADOR MODULAR CABLE 750MCM 15KV 600A</t>
  </si>
  <si>
    <t>ADAPTADOR MODULAR CABLE 750KCMIL15KV600A</t>
  </si>
  <si>
    <t>ADAPTADOR PUESTA-TIERRA 750KCM</t>
  </si>
  <si>
    <t>AISLADORES SUSPENSIÓN</t>
  </si>
  <si>
    <t>ALAMBRE RED. ALUM. P/ATAR # 6 AWG (1M)</t>
  </si>
  <si>
    <t>AMARRE LATERAL PREFORMADO DOBLE PARA CONDUCTOR DE ALUMINIO 4/0</t>
  </si>
  <si>
    <t>AMARRE PREFORMADO 1/0</t>
  </si>
  <si>
    <t>AMARRE PREFORMADO TIPO “S” CABLE AL # 1/0 AWG</t>
  </si>
  <si>
    <t>AMARRE TMNAL PREF 1/0 AWG</t>
  </si>
  <si>
    <t>AMARRE TMNL PREFOR CBLE 1/0AWG</t>
  </si>
  <si>
    <t>AMARRE TMNL PREFOR CBLE 4/0AWG L:66.04CM</t>
  </si>
  <si>
    <t>AMARRES 1/0</t>
  </si>
  <si>
    <t>AMARRES DE PASO 1/0</t>
  </si>
  <si>
    <t>AMARRES TEMINALES 1/0</t>
  </si>
  <si>
    <t>ANILLOS PARA TUB ROSCADO CONDUIT 4”</t>
  </si>
  <si>
    <t>ANILLOS PARA TUBOS PVC 4”</t>
  </si>
  <si>
    <t>ARANDELA DE PRESION DE ACERO GALVANIZADO; Ø= 3/8” ;ESPESOR = 2.38 mm x 3.58 mm</t>
  </si>
  <si>
    <t>ARANDELA DE PRESION DE ACERO GALVANIZADO; Ø= 5/8” ;ESPESOR = 3.96 mm x 5.15 mm</t>
  </si>
  <si>
    <t>ARANDELA PLANAS 5/8" AC GALVA</t>
  </si>
  <si>
    <t>ARANDELA PRESIÓN 5/8" AC GALVA</t>
  </si>
  <si>
    <t>ASA FIJACION P/CODO ROMPECARGA 15KV 200A</t>
  </si>
  <si>
    <t>BANCO DE BATERIAS (60 BATERIAS DE 2,2 V) TIPO GEL DE 40 Ah 12V.</t>
  </si>
  <si>
    <t>BANCO DE BATERIAS 24 CELDAS / 48VCC INCLUIR RACK DE INSTALACION , CONECTORES Y CABLES</t>
  </si>
  <si>
    <t>BANCO DE BATERIAS DE 125 vcc, DE 60 CELDAS , DE 2 VOLTIOS CADA UNA. INCLUIR RACK DE INSTALACION , CONECTORES Y CABLES</t>
  </si>
  <si>
    <t>BANCO DE BATERIAS DE 125 vcc, TIPO MONOBLOCK DE 10 CELDAS , DE 12 VOLTIOS CADA UNA. INCLUIR RACK DE INSTALACION , CONECTORES Y CABLES</t>
  </si>
  <si>
    <t>BARRA ACER COBRIZ 5/8" X 8"PUESTA-TIERRA</t>
  </si>
  <si>
    <t>BARRA ACERO COBRIZ</t>
  </si>
  <si>
    <t>BARRA ANCLA DOBLE CANAL</t>
  </si>
  <si>
    <t>BARRA COOPER</t>
  </si>
  <si>
    <t>BATERIA DE 12V 7A</t>
  </si>
  <si>
    <t>BATERIA DE 12 VOLTIO 12 AMPERIO, F1 TERMINAL MEDIDAS 15X98X95MM</t>
  </si>
  <si>
    <t>BATERIA PARA RECONECTADOR MARCA ROSWELD, 24 V - 7AH</t>
  </si>
  <si>
    <t>BATERIAS 125 Vcc 40 AH.</t>
  </si>
  <si>
    <t>BATERÍAS EN GEL DE 2,2 V</t>
  </si>
  <si>
    <t>BOBINA DE DISPARO Y CIERRE</t>
  </si>
  <si>
    <t>BUSHING PARA TRANSFORMADOR DE POTENCIA DE 8MVA EN ENTRADA DE 34,5 KV</t>
  </si>
  <si>
    <t>BUSHING PARA TRANSFORMADOR DE POTENCIA DE 8MVA EN SALIDA DE 13,8 KV</t>
  </si>
  <si>
    <t>CABLE 1/0 AL FORRADO</t>
  </si>
  <si>
    <t>CABLE 1/0 AL</t>
  </si>
  <si>
    <t>CABLE AL 6201 DESNUDO 1/0AWG 7H 1P</t>
  </si>
  <si>
    <t>CABLE AL 6201 DESNUDO 4/0AWG 7H 1P</t>
  </si>
  <si>
    <t>CABLE AL DESNUDO 1/0 AWG</t>
  </si>
  <si>
    <t>CABLE CU 250MCM</t>
  </si>
  <si>
    <t>CABLE CU 250MCM 37H TR-XLPE-LLDPE 1P 15K</t>
  </si>
  <si>
    <t>CABLE CU DESNUDO</t>
  </si>
  <si>
    <t>CABLE CU DESNUDO 2/0KCM 37H TR BLANDO 1P</t>
  </si>
  <si>
    <t>CABLE MONOP CU PANTA 36 KV 750MCM 37H 90º</t>
  </si>
  <si>
    <t>CABLE PLT 15 KV. NEGRO #2 SIN PANTALLA</t>
  </si>
  <si>
    <t>CABLE PLT500 15KV</t>
  </si>
  <si>
    <t>CAJA DE CONTROL SWITCH DE POTENCIA SIEMENS 3AD, CON RELE DE PROTECCION SIEMENS REYROLLE ARGUS-M 7SR7224</t>
  </si>
  <si>
    <t>CARGADOR RECTIFICADOR 120 CA a 120 CC CON ECUALIZADOR DE HASTA 8 horas.</t>
  </si>
  <si>
    <t>CERRADURA</t>
  </si>
  <si>
    <t>CINTA AISL PLAST 3/4" P/IDENTIF.CABLES</t>
  </si>
  <si>
    <t>CINTA AISLANT PLAST 3/4"X0007X66'NEGRO BT</t>
  </si>
  <si>
    <t>CINTA AISLANTE PLÁSTICO</t>
  </si>
  <si>
    <t>CINTA AISLANTE GOMA 3/4" ANCHO AT NEGRO</t>
  </si>
  <si>
    <t>CINTA PLASTICA 3/4</t>
  </si>
  <si>
    <t>CINTA AISLANTE GOMASILIC 180°C, 69</t>
  </si>
  <si>
    <t>CINTA CU-SN ESP:0.016" LONG:15' ANCHO:1"</t>
  </si>
  <si>
    <t>CINTA MALLA CU ESTAÑADO</t>
  </si>
  <si>
    <t>CINTA SEMICONDUCTORA 3/4" X 0030" X 15</t>
  </si>
  <si>
    <t>CINTAS DE COLOR PARA IDENTIFICAR</t>
  </si>
  <si>
    <t>CINTAS SEMICONDUCTIVA</t>
  </si>
  <si>
    <t>CODO ROMPECARGA P/CABLE 2 AWG 15KV 200A</t>
  </si>
  <si>
    <t>CONECT BARRA A TIERRA</t>
  </si>
  <si>
    <t>CONECT COMP DERIV 250-400MCM A 2/0</t>
  </si>
  <si>
    <t>CONECT COMPR DERIV AL-CU 1/0-2/0 AWG T/C</t>
  </si>
  <si>
    <t>CONECT COMPRES DERIV AL-CU 4/0 A 4/0 AWG</t>
  </si>
  <si>
    <t>CONECT COMPRES TUBULAR CU 2/0 SUBT S/TAB</t>
  </si>
  <si>
    <t>CONECT COMPRES TUBULAR CU 250 MCM S/TAB</t>
  </si>
  <si>
    <t>CONECT COMPRES TUBULAR CU 500 MCM S/TAB</t>
  </si>
  <si>
    <t>CONECT DERIV EN T CBL CU 750MCM A 250</t>
  </si>
  <si>
    <t>CONECT DERIV EN T CBL CU 750MCM A 500</t>
  </si>
  <si>
    <t>CONECT TMNAL COMPR CABLE AL 400MCM 2HUECOS</t>
  </si>
  <si>
    <t>CONECT TMNAL COMPRES CU # 2 MCM 15KV 600A</t>
  </si>
  <si>
    <t>CONECT TMNAL COMPRES CU 2 AWG 2 HUECOS</t>
  </si>
  <si>
    <t>CONECT TMNAL COMPRES CU 2/0 MCM 15KV 600A</t>
  </si>
  <si>
    <t>CONECT TMNAL COMPRES CU 750MCM 15KV 600A</t>
  </si>
  <si>
    <t>CONECT TMNAL COMPRES CU N.º 1/0 AWG 2 HUECOS</t>
  </si>
  <si>
    <t>CONECT TMNAL COMPRES CU N.º 2/0 AWG 2 HUECOS</t>
  </si>
  <si>
    <t>CONECT TMNAL COMPRES CU N.º 3/0 AWG 2 HUECOS</t>
  </si>
  <si>
    <t>CONECT TMNAL COMPRES CU N.º 4/0 AWG 2 HUECOS</t>
  </si>
  <si>
    <t>CONECT TMNL COMPRES CU-SN 250MCM</t>
  </si>
  <si>
    <t>CONECT TMNL COMPRES CU-SN 250MCM 2</t>
  </si>
  <si>
    <t>CONECT TMNL COMPRES CU-SN 750MCM 2HUECOS</t>
  </si>
  <si>
    <t>CONECT TUBULAR LINEAL 250MCM 15KV 600A</t>
  </si>
  <si>
    <t>CONECT TUBULAR LINEAL 500MCM 15KV 600A</t>
  </si>
  <si>
    <t>CONECT TUBULAR LINEAL 750MCM 15KV 600A</t>
  </si>
  <si>
    <t>CONECT. EN "U" BIMETALICO 4 AWG KSU-20</t>
  </si>
  <si>
    <t>CONECT.BARRA A TIERRA 5/8"CABLE 1/0-8AWG</t>
  </si>
  <si>
    <t>CONECT.TORNLL DERIV CU AWG# 2 BT</t>
  </si>
  <si>
    <t>CONECT.TORNLL DERIV CU AWG#2/0BT</t>
  </si>
  <si>
    <t>CONECT.TORNLL DERIV CU AWG#250BT</t>
  </si>
  <si>
    <t>CONECT.TORNLL DERIVCU 2/0MCMBAJA TENSION</t>
  </si>
  <si>
    <t>CONECT.TORNLL DERIVCU 250 MCMBAJA TENSION</t>
  </si>
  <si>
    <t>CONECT.TORNLL DERIVCU 250MCMBAJA TENSION</t>
  </si>
  <si>
    <t>CONECT.TORNLL DERIVCU 250MCMBAJA TENSION6</t>
  </si>
  <si>
    <t>CONECTOR AL DERIV.COMP. 2/0AWG A 1/0AWG</t>
  </si>
  <si>
    <t>CONECTOR COMP CUÑA BIMET 1/0 A 2AWG CART</t>
  </si>
  <si>
    <t>CONECTOR COMPR AL CU 2/0 AWG TUBULAR</t>
  </si>
  <si>
    <t>CONECTOR COMPR TERMINAL 2/0 2H</t>
  </si>
  <si>
    <t>CONECTOR COMPRES TUBULAR CU 250</t>
  </si>
  <si>
    <t>CONECTOR CU-AL TIPO "U" KSU-21</t>
  </si>
  <si>
    <t>CONECTOR CUÑA DERIV.4/0-4/0 O 4/0-250AWG</t>
  </si>
  <si>
    <t>CONECTOR CUÑA DERIVACION 1/0 A 1/0</t>
  </si>
  <si>
    <t>CONECTOR CUÑA DERIVACION 1/0-1/0 ó 1/0-2AWG</t>
  </si>
  <si>
    <t>CONECTOR CUÑA DERIVACION1/0-1/0O1/0-2AWG</t>
  </si>
  <si>
    <t>CONECTOR DE CU LINEA VIVA 2/0-250</t>
  </si>
  <si>
    <t>CONECTOR DERIV EN T CABLE CU 250-250 MCM</t>
  </si>
  <si>
    <t>CONECTOR DERIV EN T CU 250 MCM A 2/0 AWG</t>
  </si>
  <si>
    <t>CONECTOR EN U BIMETALICO AWG KSU-17</t>
  </si>
  <si>
    <t>CONECTOR KS#2</t>
  </si>
  <si>
    <t>CONECTOR P/CBL 4/0-3/0 DERIV AL CRIMPIT</t>
  </si>
  <si>
    <t>CONECTOR TERMINAL 2/0MCM 15KV 600A</t>
  </si>
  <si>
    <t>CONECTOR TERMINAL 250 TIPO BARRACUDA 2 HUECO</t>
  </si>
  <si>
    <t>CONECTOR TERMINAL 250MCM 15KV 600A</t>
  </si>
  <si>
    <t>CONECTOR TERMINAL 2MCM 15KV 600A</t>
  </si>
  <si>
    <t>CONECTOR TERMINAL 500 MCM 2 H</t>
  </si>
  <si>
    <t>CONECTOR TERMINAL 500MCM 15KV 600A</t>
  </si>
  <si>
    <t>CONECTOR TERMINAL 750MCM 15KV 600A</t>
  </si>
  <si>
    <t>CONECTOR TERMINAL COMPRESION CU 250 MCM</t>
  </si>
  <si>
    <t>CONECTOR TERMINAL COMPRESION CU 4 AWG BT</t>
  </si>
  <si>
    <t>CONECTOR TERMINAL COMPRESION CU 500 MCM</t>
  </si>
  <si>
    <t>CONECTOR TIPO BARRACUDA 500 MCM 2H</t>
  </si>
  <si>
    <t>CONECTOR TORNILL DERIV CU 2/0</t>
  </si>
  <si>
    <t>CONECTOR TORNILLO #2</t>
  </si>
  <si>
    <t>CONECTOR TORNILLO #250</t>
  </si>
  <si>
    <t>CONECTOR TORNILLO 250 MCM</t>
  </si>
  <si>
    <t>CONECTOR TORNILLO DERIV CU AWG# 250 (KS)</t>
  </si>
  <si>
    <t>CONECTOR TORNILLO DERIV CU AWG# 6</t>
  </si>
  <si>
    <t>CONECTOR TUBULAR 500 MCM M. T.</t>
  </si>
  <si>
    <t>CONECTOR TUBULAR 500MCM</t>
  </si>
  <si>
    <t>CONECTOR TUBULAR AUTOM CABLE AL 4/0 AWG</t>
  </si>
  <si>
    <t>CONECTOR TUBULAR AUTOMATICO CABLE AL 1/0 AWG</t>
  </si>
  <si>
    <t>CONECTOR TUBULAR LINEAL 250MCM 15KV 600A</t>
  </si>
  <si>
    <t>CONECTOR TUBULAR LINEAL 500MCM 15KV 600A</t>
  </si>
  <si>
    <t>CONECTORES 1/0</t>
  </si>
  <si>
    <t>CONECTORES AMPACT 4/0</t>
  </si>
  <si>
    <t>CONECTORES AUTOMATICOS 1/0</t>
  </si>
  <si>
    <t>CONECTORES AUTOMATICOS 4/0</t>
  </si>
  <si>
    <t>CONECTORES CUÑA DERIVACION</t>
  </si>
  <si>
    <t>COPA TERMINAL TIPO RATCHET</t>
  </si>
  <si>
    <t>CRUCETA ACERO GALVANIZADO 2 MT X 75 X 75 X 7mm</t>
  </si>
  <si>
    <t>CRUCETAS</t>
  </si>
  <si>
    <t>CRUCETAS DE 2M*75*75</t>
  </si>
  <si>
    <t>CRUCETAS DE 2MT</t>
  </si>
  <si>
    <t>CRUCETAS DE 2MTS</t>
  </si>
  <si>
    <t>CRUCETAS DE ACERO GALVANIZADO</t>
  </si>
  <si>
    <t>CUBICULO DE PROTECCION DE ALARMAS</t>
  </si>
  <si>
    <t>CUCHILLAS DE 600A</t>
  </si>
  <si>
    <t>CURVAS DE 90° 4”</t>
  </si>
  <si>
    <t>DESCARGADORES DE SOBRETENSIÓN 9KV</t>
  </si>
  <si>
    <t>DISPOSITIVO AISLANTE ACOPLAM</t>
  </si>
  <si>
    <t>DISPOSITIVO DE TIERRA</t>
  </si>
  <si>
    <t>DISPOSITIVO MODULAR A TIERRA CABLE 250 MCM</t>
  </si>
  <si>
    <t>DISPOSITIVO MODULAR A TIERRA 2-250MCM 15KV</t>
  </si>
  <si>
    <t>DISPOSITIVO MODULAR A TIERRA 2-750MCM 15KV</t>
  </si>
  <si>
    <t>DISPOSITIVO MODULAR A TIERRA 500MCM 15KV</t>
  </si>
  <si>
    <t>ELECTRO VENTILADOR DE LOS TX 10MVA</t>
  </si>
  <si>
    <t>ESPIGA RECTA</t>
  </si>
  <si>
    <t>FUSIBLE LIMITADOR "C" 65A 15,5KV CM6 (2NX65)</t>
  </si>
  <si>
    <t>FUSIBLE LIMITADOR 12A 15,5KV CLASE C,CM5 (TIPO NX)</t>
  </si>
  <si>
    <t>FUSIBLE LIMITADOR 18A 15,5KV CLASE C,CM5 (TIPO NX)</t>
  </si>
  <si>
    <t>FUSIBLE LIMITADOR 18A 15,5KV CLASE C,CM5(TIPO NX)</t>
  </si>
  <si>
    <t>FUSIBLE LIMITADOR 30A 15,5KV CLASE C,CM5 (TIPO NX)</t>
  </si>
  <si>
    <t>FUSIBLE LIMITADOR 40A 15,5KV CLASE C,CM5 (TIPO NX)</t>
  </si>
  <si>
    <t>FUSIBLE LIMITADOR 50A 15,5KV CLASE C,CM5 (TIPO NX)</t>
  </si>
  <si>
    <t>FUSIBLE TIPO K 15-27KV 80A</t>
  </si>
  <si>
    <t>GUARDACABO SOPORTE CIRCULAR</t>
  </si>
  <si>
    <t>GUARDACABOS</t>
  </si>
  <si>
    <t>GUAYA 3/8"</t>
  </si>
  <si>
    <t>IMPULSOR DE DETONACION COLOR AZUL</t>
  </si>
  <si>
    <t>INTERRUPTOR TRANS/AUT VACIO 3F 600ª 15KV BASICO</t>
  </si>
  <si>
    <t>JUEGO DE EMPACADURA PARA CUBA DE TP DE 8MVA</t>
  </si>
  <si>
    <t>MALLA 500MCM PARA HALAR CABLE</t>
  </si>
  <si>
    <t>MALLA ESTAÑADA#8</t>
  </si>
  <si>
    <t>MALLA FLEXIBLE PARA SOPORTE DE CABLE 15 KV. 500 UNIPOLAR GRANDE</t>
  </si>
  <si>
    <t>MANGUITO P/POSTE DISTRIBUCION Ø 16,83 CM ES</t>
  </si>
  <si>
    <t>MANTO PARA IMPERMEABILIZAR</t>
  </si>
  <si>
    <t>MORDAZA DE SUSPENSIÓN COND AL # 336 MCM</t>
  </si>
  <si>
    <t>PARALES DE 28"</t>
  </si>
  <si>
    <t>PERNO CARRUAJE 5/8"DIAM X 6"LONG C/T</t>
  </si>
  <si>
    <t>PERNO CARRUAJE ACERO GALVANIZADO DE 5/8”x 2 ½””</t>
  </si>
  <si>
    <t>PERNO CARRUAJE Ø= 5/8” X 6” LONG C/T</t>
  </si>
  <si>
    <t>PERNOS 5/8 X 4</t>
  </si>
  <si>
    <t>PERNOS 5/8”*1-3/4</t>
  </si>
  <si>
    <t>PERNOS 5/8”*6</t>
  </si>
  <si>
    <t>PERNOS 5/8X 12</t>
  </si>
  <si>
    <t>PERNOS 5/8X2</t>
  </si>
  <si>
    <t>PERNOS 5/8X4.</t>
  </si>
  <si>
    <t>PERNOS CARRUAJE 5/8" X 1 3/4"</t>
  </si>
  <si>
    <t>PERNOS CARRUAJE 5/8" X 4"</t>
  </si>
  <si>
    <t>PERNOS ESPARRAGO 5/8" X 10"</t>
  </si>
  <si>
    <t>PERNOS ROSCA CORRIDA DE 5/8*12”</t>
  </si>
  <si>
    <t>PINTURA VER MAR</t>
  </si>
  <si>
    <t>PINTURA VERDE PALMA ESMALTE, CAP.1 GALON - CS SF</t>
  </si>
  <si>
    <t>POSTE 12M REFORZADO</t>
  </si>
  <si>
    <t>PUERTA DE 1,50*2,10</t>
  </si>
  <si>
    <t>RECEPTACULO MODULAR EN T</t>
  </si>
  <si>
    <t>RECEPTACULO TERMINAL AISLADO</t>
  </si>
  <si>
    <t>Reconectador automatico. Tension nominal 15.6kV, corriente nominal 650 amp, coriente de falla 40Ka</t>
  </si>
  <si>
    <t>Rectificador Voltaje de Entrada: 208 [Vac]. Corriente nominal 65 A. Salida: 125 [Vdc]. 100[A].</t>
  </si>
  <si>
    <t>RELE MULTIFUCION NUMERICO</t>
  </si>
  <si>
    <t>ROLLO DE FLEJE MAS HEBILLAS</t>
  </si>
  <si>
    <t>SECCIONAD 3F TR/MAN 3V 15KV 600A SF6 FRAM6</t>
  </si>
  <si>
    <t>SOCATES E40</t>
  </si>
  <si>
    <t>SOLVENTE DIELÉCTRICO</t>
  </si>
  <si>
    <t>SOPORTE ANGULAR</t>
  </si>
  <si>
    <t>SOPORTE ANGULAR AC GALV 40X6X40MM X42”</t>
  </si>
  <si>
    <t>SOPORTE PARA CORTACORRIENTE Y PARARRAYO (Z)</t>
  </si>
  <si>
    <t>SOPORTE PARA CRUCETA DE ACERO GALVANIZADO</t>
  </si>
  <si>
    <t>SOPORTE PATA TX TRIF</t>
  </si>
  <si>
    <t>SOPORTES ANGULAR</t>
  </si>
  <si>
    <t>SOPORTES DE CRUCETA</t>
  </si>
  <si>
    <t>TABLERO DE PROTECCIONES DEL TRANSFORMADOR N°2, 50 MTS DE CONDUCTOR DE CONTROL 7X12</t>
  </si>
  <si>
    <t>TARJETA DE CONTROL Y POTENCIA PARA RECONECTADOR</t>
  </si>
  <si>
    <t>TARJETA DEL CPU DEL RELÉ F-650 GENERAL ELECTRIC</t>
  </si>
  <si>
    <t>TDPOENEL 1F 4,8 KV 120/240 100 KVA</t>
  </si>
  <si>
    <t>TDPOENEL 1F 4,8 KV 120/240 167,5 KVA</t>
  </si>
  <si>
    <t>TDPOENEL 1F 4,8 KV 120/240 25 KVA</t>
  </si>
  <si>
    <t>TDPOENEL 1F 4,8 KV 120/240 37,5 KVA</t>
  </si>
  <si>
    <t>TDPOENEL 1F 4,8 KV 120/240 50 KVA</t>
  </si>
  <si>
    <t>TDPOENEL 1F 4,8 KV 120/240 75 KVA</t>
  </si>
  <si>
    <t>TERMINACION TERMOCONT EXT 1P 15KV 500KCM</t>
  </si>
  <si>
    <t>TERMINAL AISLANTE ACOPLAMTO 15KV 600A</t>
  </si>
  <si>
    <t>TERMINAL ESPADA 250</t>
  </si>
  <si>
    <t>TERMINAL TIPO ESPADA 250</t>
  </si>
  <si>
    <t>TERMINALES 250 DOBLE HUECO</t>
  </si>
  <si>
    <t>TERMINALES 500MCM 2H</t>
  </si>
  <si>
    <t>TERMINALES PARA CONDUCTOR DE CONTROL PARA EL RELÉ</t>
  </si>
  <si>
    <t>TERMINALES PARA CONDUCTOR DE CONTROL PARA LOS TC</t>
  </si>
  <si>
    <t>TIPO CELDA CON INTERRUPTOR TENSION 15 KV Y 500 AMPERIOS</t>
  </si>
  <si>
    <t>TIPO INTERPERIE DE 13,8 KV 400 AMP</t>
  </si>
  <si>
    <t>TERMINAL AISL P/RECEPTACULO "T" 15KV 600A</t>
  </si>
  <si>
    <t>TORNILLO 5/8" X10 "</t>
  </si>
  <si>
    <t>TORNILLO ACERO GALVANIZADO 5/8" X 1 3/4"</t>
  </si>
  <si>
    <t>TORNILLO ACERO GALVANIZADO CABEZA CUADRADA 3/8”x 1 ¾”.</t>
  </si>
  <si>
    <t>TORNILLO BRONCE-SILICIO _1/2"-X 2" COMPLETO</t>
  </si>
  <si>
    <t>TORNILLO DE 1/2" X 1/2" CABEZA CUADRADA</t>
  </si>
  <si>
    <t>TORNILLOS 3/8"X1 13/4"</t>
  </si>
  <si>
    <t>TORNILLOS GALVANIZADOS 1/2*11/2</t>
  </si>
  <si>
    <t>TRANSF. DE POTENCIA 23,9/8 kV 15 MVA</t>
  </si>
  <si>
    <t>TRANSF. DE POTENCIA 34,5/13,8 kV 10MVA</t>
  </si>
  <si>
    <t>TRANSF. DE POTENCIA 34,5/13,8 kV 15MVA</t>
  </si>
  <si>
    <t>TRANSF. DE POTENCIA 34,5/13,8 kV 20MVA</t>
  </si>
  <si>
    <t>TRANSF. DE POTENCIA 34,5/13,8 kV 5MVA</t>
  </si>
  <si>
    <t>TRAPOS ESTERILIZADOS</t>
  </si>
  <si>
    <t>TUBOS CONDUIT 4”</t>
  </si>
  <si>
    <t>TUBULARES 500</t>
  </si>
  <si>
    <t>TUERCA BRONCE SILICIO HEXAGONAL 5/8" 11 H</t>
  </si>
  <si>
    <t>TUERCAS DE OJO</t>
  </si>
  <si>
    <t>ZAPATA REFORZADA 30*30</t>
  </si>
  <si>
    <t>REGULADOR DE 333 KVA VOLTAJE 7600/13200Y</t>
  </si>
  <si>
    <t>PROTECCION CONTRA ARCO Y FUEGO ANCHA</t>
  </si>
  <si>
    <t>PERNO ACERO FORJADO GALVANIZADO 3/8" CON TUERCA</t>
  </si>
  <si>
    <t>COMUNICACIONES</t>
  </si>
  <si>
    <t>ESPECIFICACIONES TECNICAS DEL EQUIPO O ELEMENTOS REQUERIDO (NÚMERO DE NORMA QUE REGULA AL EQUIPO O COMPONENTE)</t>
  </si>
  <si>
    <t>EQUIPOS DE SECCIONAMIENTO O INTERCONEXION</t>
  </si>
  <si>
    <t>LINEAS CABLES O CONDUCTORES</t>
  </si>
  <si>
    <t>MANTENIMIENTO PREVENTIVO</t>
  </si>
  <si>
    <t>SERVICIOS_AUXILIARES</t>
  </si>
  <si>
    <t>AISLADORES_SOPORTE</t>
  </si>
  <si>
    <t>BANCO_DE_CAPACITORES</t>
  </si>
  <si>
    <t>ESTRUCTURAS_DE_SOPORTE</t>
  </si>
  <si>
    <t>SEGURIDAD_INFRAESTRUCTURA</t>
  </si>
  <si>
    <t>SISTEMA_DE_PUESTA_A_TIERRA</t>
  </si>
  <si>
    <t>SUBESTACION_MOVIL</t>
  </si>
  <si>
    <t>TABLERO_DE_CONTROL_Y_MEDICIÓN</t>
  </si>
  <si>
    <t>TRANSFORMADOR_DE_POTENCIA</t>
  </si>
  <si>
    <t>TRANSFORMADORES_DE_MEDICION</t>
  </si>
  <si>
    <t>CONDENS AT 1F INTEMP 50KVAR 2770V75KV BIL</t>
  </si>
  <si>
    <t>CONDENS AT 1F INTEMP 60KVAR 2770V75KV BIL</t>
  </si>
  <si>
    <t>CONDENS AT 1F INTEMP 100KVAR 2770V75KV BIL</t>
  </si>
  <si>
    <t>CONDENS AT 1F INTEMP 110KVAR 2770V75KV BIL</t>
  </si>
  <si>
    <t>CONDENS AT 1F INTEMP 115KVAR 2770V75KV BIL</t>
  </si>
  <si>
    <t>CONDENS AT 1F INTEMP 200KVAR 2770V75KV BIL</t>
  </si>
  <si>
    <t>CONDENS 1F INTEMP 50KVAR 4800V75KV BIL 60HZ</t>
  </si>
  <si>
    <t>CONDENS 1F INTEMP 60KVAR 4800V75KV BIL 60HZ</t>
  </si>
  <si>
    <t>CONDENS 1F INTEMP 100KVAR 4800V75KV BIL 60HZ</t>
  </si>
  <si>
    <t>CONDENS 1F INTEMP 110KVAR 4800V75KV BIL 60HZ</t>
  </si>
  <si>
    <t>CONDENS 1F INTEMP 115KVAR 4800V75KV BIL 60HZ</t>
  </si>
  <si>
    <t>CONDENS 1F INTEMP 200KVAR 4800V75KV BIL 60HZ</t>
  </si>
  <si>
    <t>CONDENS AT 1F INTEMP 50KVAR 7200V95KV BIL</t>
  </si>
  <si>
    <t>CONDENS AT 1F INTEMP 60KVAR 7200V95KV BIL</t>
  </si>
  <si>
    <t>CONDENS AT 1F INTEMP 100KVAR 7200V95KV BIL</t>
  </si>
  <si>
    <t>CONDENS AT 1F INTEMP 110KVAR 7200V95KV BIL</t>
  </si>
  <si>
    <t>CONDENS AT 1F INTEMP 115KVAR 7200V95KV BIL</t>
  </si>
  <si>
    <t>CONDENS AT 1F INTEMP 200KVAR 7200V95KV</t>
  </si>
  <si>
    <t>CONDENSADOR EN DERIVACION DE 100 kVAr, 7,96 kV, 60 HZ; 38/125 kV BIL, CON RESISTENCIA INTERNA DE DESCARGA.</t>
  </si>
  <si>
    <t>CONDENSADOR EN DERIVACION DE 200 kVAr, 7,96 kV, 60 HZ; 38/125 kV BIL, CON RESISTENCIA INTERNA DE DESCARGA.</t>
  </si>
  <si>
    <t>CONDENSADOR EN DERIVACION DE 50 kVAr, 7,96 kV, 60 HZ; 38/125 kV BIL, CON RESISTENCIA INTERNA DE DESCARGA.</t>
  </si>
  <si>
    <t>CONDENSADOR MONOFÁSICO 50 KVAR, 13,8  KV/7,9KVln</t>
  </si>
  <si>
    <t>CONDENSADOR MONOFÁSICO 100 KVAR, 13,8  KV/7,9KVln</t>
  </si>
  <si>
    <t>CONDENSADOR MONOFÁSICO 200 KVAR, 13,8  KV/7,9KVln</t>
  </si>
  <si>
    <t>SISTEMA DE PUESTA A TIERRA</t>
  </si>
  <si>
    <t>TRANSF. DE POTENCIA  34,5/13,8 kV  10MVA</t>
  </si>
  <si>
    <t>INTERRUPTOR DE POTENCIA 24KV 1250 AMP</t>
  </si>
  <si>
    <t>PARARRAYO CERAMICA TIPO PEDESTAL PARA SUBESTACION DE 15KV</t>
  </si>
  <si>
    <t>PARARRAYO CERAMICA TIPO PEDESTAL PARA SUBESTACION DE 34.5KV</t>
  </si>
  <si>
    <t>TRANSFORMADOR DE POTENCIA 1.15 MVA  13,8/2,4 Kv</t>
  </si>
  <si>
    <t>TRANSFORMADOR DE POTENCIA 34,5/13,8 KV - 3 MVA,  60 HZ</t>
  </si>
  <si>
    <t>TRANSFORMADOR DE POTENCIA 34,5/13,8 KV - 2,5 MVA,  60 HZ</t>
  </si>
  <si>
    <t>CORTACORRIENTE MONOP. 34.5KV 100A 8KA</t>
  </si>
  <si>
    <t>CORTACORRIENTE MONOP. 13.8KV 100A 12KA</t>
  </si>
  <si>
    <t xml:space="preserve">CORTACORRIENTE MONOP. 13.8KV 100A 12KA </t>
  </si>
  <si>
    <t xml:space="preserve">CORTACORRIENTE MONOP. 34.5KV 100A 8KA </t>
  </si>
  <si>
    <t>TRANSFORMADOR DE POTENCIA 15 MVA</t>
  </si>
  <si>
    <t>TRANSFORMADOR DE 34.5 KV /13.8 KV DE 3 MVA Y SUS EQUIPOS DE MANIOBRAS Y DE PROTECCIONES.</t>
  </si>
  <si>
    <t>TRANSFORMADOR DE 34.5 KV /14.4 KV DE 20 MVA</t>
  </si>
  <si>
    <t>B110</t>
  </si>
  <si>
    <t>D105</t>
  </si>
  <si>
    <t>D205</t>
  </si>
  <si>
    <t>TRANSFORMADOR DE 34.5 KV /13.8 KV DE 5  MVA Y SUS EQUIPOS DE MANIOBRAS Y DE PROTECCIONES.</t>
  </si>
  <si>
    <t>REEMPLAZO DE TRANSFORMADOR DE POTENCIA DE 5 MVA / 34,5 /13,8 KV, DEBIDO QUE EL INSTALADO SE ENCUENTRA SOBRECARGADO</t>
  </si>
  <si>
    <t>D305</t>
  </si>
  <si>
    <t>SECCIONADORES DE 13,8 KV</t>
  </si>
  <si>
    <t>SECCIONADORES DE 34,5 KV</t>
  </si>
  <si>
    <t>EN EJECUCION</t>
  </si>
  <si>
    <t>RECONECTADOR 13,8 KV</t>
  </si>
  <si>
    <t>RECONECTADOR 30 KV</t>
  </si>
  <si>
    <t>RECONECTADOR 12,47 KV</t>
  </si>
  <si>
    <t>INTERRUPTOR 12,47 kV</t>
  </si>
  <si>
    <t>INTERRUPTOR 30 kV</t>
  </si>
  <si>
    <t>RECONECTADOR 34,5 KV</t>
  </si>
  <si>
    <t>REGULADORES DE TENSION</t>
  </si>
  <si>
    <t>CONDUCTOR</t>
  </si>
  <si>
    <t>TRAMO SUBTERRANEO</t>
  </si>
  <si>
    <t>CORTACORRIENTE 13,8 KV</t>
  </si>
  <si>
    <t>CORTACORRIENTE 34,5 KV</t>
  </si>
  <si>
    <t>TRAMO AEREO</t>
  </si>
  <si>
    <t>TRANSFORMADORESDEPOTENCIA</t>
  </si>
  <si>
    <t>TRANSF.  DE POTENCIA 23,9/13,8 KV  6,5 MVA</t>
  </si>
  <si>
    <t>TRANSF.  DE POTENCIA 34,5/13,8KV 36 MVA</t>
  </si>
  <si>
    <t>TRANSF.  DE POTENCIA 34,5/13,8 KV - 2,5 MVA</t>
  </si>
  <si>
    <t>TRANSF.  DE POTENCIA 34,5/13,8 KV - 3 MVA</t>
  </si>
  <si>
    <t>TRANSF. DE POTENCIA 34,5/13,8 kV 20 MVA</t>
  </si>
  <si>
    <t>TRANSF. DE POTENCIA 34,5/13,8 kV 10 MVA</t>
  </si>
  <si>
    <t>TRANSF. DE POTENCIA 34,5/13,8 kV 25 MVA</t>
  </si>
  <si>
    <t>TRANSF. DE POTENCIA 34,5/13,8 kV 30 MVA</t>
  </si>
  <si>
    <t>TRANSF. DE POTENCIA 34,5/13,8 kV 5 MVA</t>
  </si>
  <si>
    <t>TRANSF. DE POTENCIA 34,5/13,8 kV 40 MVA</t>
  </si>
  <si>
    <t>TRANSF. DE POTENCIA 30/12,47 kV 20 MVA</t>
  </si>
  <si>
    <t>TRANSF. DE POTENCIA 30/12,47 kV 10 MVA</t>
  </si>
  <si>
    <t>TRANSF.  DE POTENCIA 23,9/13,8 KV  10 MVA</t>
  </si>
  <si>
    <t>TRANSF.  DE POTENCIA 23,9/13,8 KV  20 MVA</t>
  </si>
  <si>
    <t>TRANSF.  DE POTENCIA 23,9/13,8 KV 15 MVA</t>
  </si>
  <si>
    <t>TRANSF.  DE POTENCIA 34,5/13,8 KV 3 MVA</t>
  </si>
  <si>
    <t>TRANSF.  DE POTENCIA 34,5/13,8 KV 2,5 MVA</t>
  </si>
  <si>
    <t>TRANSF.  DE POTENCIA 34,5/13,8 KV 36 MVA</t>
  </si>
  <si>
    <t>RECONECTADOR VACIO 13.8 KV 110KV 560A</t>
  </si>
  <si>
    <t>RECONECTADO 13,8 KV, 650A</t>
  </si>
  <si>
    <t>INTERRUPTOR POTE VACIO 13.8 KV SF6 2000A</t>
  </si>
  <si>
    <t xml:space="preserve">INTERRUPTOR POTE VACIO 34.5 KV SF6 1250A </t>
  </si>
  <si>
    <t>INTERRUPTOR POTENCIA VACIO 34,5 KV SF6 800A</t>
  </si>
  <si>
    <t>BANCODECONDESADORES</t>
  </si>
  <si>
    <t>PARARRAYOS DE 13,8 kV</t>
  </si>
  <si>
    <t>PARARRAYOS DE 34,5 kV</t>
  </si>
  <si>
    <t xml:space="preserve">
PARARRAYOS DE 34,5 KV LADO DE ALTA  PARA S/E DE DISTRIBUCIÓN
</t>
  </si>
  <si>
    <t xml:space="preserve">
PARARRAYOS DE 13,8 KV LADO DE BAJA  PARA S/E DE DISTRIBUCIÓN
</t>
  </si>
  <si>
    <t>TRANSF. DE POTENCIA  34,5/13,8 kV  5MVA</t>
  </si>
  <si>
    <t>TRANSFORMADOR DE POTENCIA DE 15MVA</t>
  </si>
  <si>
    <t>TRANSFORMADOR DE POTENCIA DE 10MVA</t>
  </si>
  <si>
    <t>PARARRAYOS DE 30 kV</t>
  </si>
  <si>
    <t>OPERATIVO REQUIERE SUSTITUCION</t>
  </si>
  <si>
    <t>BARRAS COPERWEL</t>
  </si>
  <si>
    <t>CONECTOR</t>
  </si>
  <si>
    <t>HERRAJE</t>
  </si>
  <si>
    <t>TRANSFORMADOR DE POTENCIA DE 34,5/13,8 Kv, 5 MVA</t>
  </si>
  <si>
    <t>ARAYA</t>
  </si>
  <si>
    <t>DISYUNTOR DIGITAL DE 34.5 KV, DE 400 AMP, MARCA TABLECEL</t>
  </si>
  <si>
    <t>REEMPLAZO DE DISYUNTOR 34,5 KV</t>
  </si>
  <si>
    <t>RECONECTADOR DIGITAL DE 13.8 KV, DE 250 AMP, MARCA NOJA O ROCKWILL</t>
  </si>
  <si>
    <t>REEMPLAZO DE RECONECTADOR 13,8 KV EN LA SALIDA DEL CIRCUITO  13,8 KV ENSAL II</t>
  </si>
  <si>
    <t>CASANAY</t>
  </si>
  <si>
    <t>REEMPLAZO DE RECONECTADOR 13,8 KV EN LA SALIDA DEL CIRCUITO  13,8 KV LA MARAVILLA</t>
  </si>
  <si>
    <t>CATUARO</t>
  </si>
  <si>
    <t>RECONECTADOR DIGITAL DE 13.8 KV, DE 100 AMP, MARCA NOJA O  ROCKWILL</t>
  </si>
  <si>
    <t>REEMPLAZO DE RECONECTADOR 13,8 KV EN LA SALIDA DEL CIRCUITO  13,8 KV LA SABANA</t>
  </si>
  <si>
    <t>REEMPLAZO DE RECONECTADOR 13,8 KV EN LA SALIDA DEL CIRCUITO  13,8 KV CATUARO</t>
  </si>
  <si>
    <t>CUMANACOA</t>
  </si>
  <si>
    <t>RECONECTADOR DIGITAL DE 13.8 KV, DE 200 AMP, MARCA NOJA O  ROCKWILL</t>
  </si>
  <si>
    <t>REEMPLAZO DE RECONECTADOR 13,8 KV EN LA SALIDA DEL CIRCUITO  13,8 KV SAN LORENZO</t>
  </si>
  <si>
    <t>D405</t>
  </si>
  <si>
    <t>REEMPLAZO DE RECONECTADOR 13,8 KV EN LA SALIDA DEL CIRCUITO  13,8 KV CENTRAL AZUCARERO</t>
  </si>
  <si>
    <t>EL LOCO</t>
  </si>
  <si>
    <t>REEMPLAZO DE RECONECTADOR 13,8 KV EN LA SALIDA DEL CIRCUITO  13,8 KV SOTILLO</t>
  </si>
  <si>
    <t>REEMPLAZO DE RECONECTADOR 13,8 KV EN LA SALIDA DEL CIRCUITO  13,8 KV GUARACAYAL</t>
  </si>
  <si>
    <t>ESPUGA</t>
  </si>
  <si>
    <t>REEMPLAZO DE RECONECTADOR 13,8 KV EN LA SALIDA DEL CIRCUITO  13,8 KV SANTA ROSA</t>
  </si>
  <si>
    <t>GUARAUNO</t>
  </si>
  <si>
    <t>RECONECTADOR DIGITAL DE 13.8 KV, DE 150 AMP, MARCA NOJA O  ROCKWILL</t>
  </si>
  <si>
    <t>REEMPLAZO DE RECONECTADOR 13,8 KV EN LA SALIDA DEL CIRCUITO  13,8 KV TUNAPUY</t>
  </si>
  <si>
    <t>REEMPLAZO DE RECONECTADOR 13,8 KV EN LA SALIDA DEL CIRCUITO  13,8 KV GUAYANA</t>
  </si>
  <si>
    <t>LOS IPURES</t>
  </si>
  <si>
    <t>REEMPLAZO DE RECONECTADOR 13,8 KV EN LA SALIDA DEL CIRCUITO  13,8 KV LOS IPURES</t>
  </si>
  <si>
    <t>MARIGUITAR</t>
  </si>
  <si>
    <t>RECONECTADOR DIGITAL DE 13.8 KV, DE 300 AMP, MARCA NOJA O  ROCKWILL</t>
  </si>
  <si>
    <t>REEMPLAZO DE RECONECTADOR 13,8 KV EN LA SALIDA DEL CIRCUITO  13,8 KV ALIMENTOS MARGARITA</t>
  </si>
  <si>
    <t>SAN JUAN</t>
  </si>
  <si>
    <t>REEMPLAZO DE RECONECTADOR 13,8 KV EN LA SALIDA DEL CIRCUITO  13,8 KV CATUCHAL</t>
  </si>
  <si>
    <t>REEMPLAZO DE RECONECTADOR 13,8 KV EN LA SALIDA DEL CIRCUITO  13,8 KV SAN JUAN</t>
  </si>
  <si>
    <t>SANTA CRUZ</t>
  </si>
  <si>
    <t>REEMPLAZO DE RECONECTADOR 13,8 KV EN LA SALIDA DEL CIRCUITO  13,8 KV SANTA CRUZ</t>
  </si>
  <si>
    <t>YAGUARAPARO</t>
  </si>
  <si>
    <t>REEMPLAZO DE RECONECTADOR 13,8 KV EN LA SALIDA DEL CIRCUITO  13,8 KV YAGUARAPARO</t>
  </si>
  <si>
    <t>DISYUNTOR DIGITAL DE 34.5 KV, DE 150 AMP, MARCA TABLECEL</t>
  </si>
  <si>
    <t>LA MOVIL DEL PEÑON</t>
  </si>
  <si>
    <t>DISYUNTOR DIGITAL DE 34.5 KV, DE 200 AMP, MARCA TABLECEL</t>
  </si>
  <si>
    <t>DISYUNTOR DIGITAL DE 34.5 KV, DE 100 AMP, MARCA TABLECEL</t>
  </si>
  <si>
    <t>DISYUNTOR DIGITAL DE 34.5 KV, DE 110 AMP, MARCA TABLECEL</t>
  </si>
  <si>
    <t>CARUPANO III (LA PLANTA)</t>
  </si>
  <si>
    <t>DISYUNTOR DIGITAL DE 34.5 KV, DE 120 AMP, MARCA TABLECEL</t>
  </si>
  <si>
    <t>MANZANARES 34.5KV</t>
  </si>
  <si>
    <t>PERICANTAR</t>
  </si>
  <si>
    <t>RIO CARIBE</t>
  </si>
  <si>
    <t>DISYUNTOR DIGITAL DE 34.5 KV, DE 300 AMP, MARCA TABLECEL</t>
  </si>
  <si>
    <t>DISYUNTOR DIGITAL DE 34.5 KV, DE 250 AMP, MARCA TABLECEL</t>
  </si>
  <si>
    <t>TRANSFORMADOR DE POTENCIA DE 5 O 10 MVA, 34,5/13,8 KV PARA AUMENTAR LA CAPACIDAD INSTALADA DE LA SUBESTACIÓN</t>
  </si>
  <si>
    <t>SUSTITUIR EL TRANSFORMADOR DE POTENCIA ACTUAL DE 3MVA POR UNO DE MAYOR CAPACIDAD</t>
  </si>
  <si>
    <t>SUSTITUIR EL TRANSFORMADOR DE POTENCIA ACTUAL DE 2,5MVA POR UNO DE MAYOR CAPACIDAD</t>
  </si>
  <si>
    <t>REEMPLAZO DE RECONECTADOR 13,8 KV EN LA SALIDA DEL CIRCUITO  13,8 KV SAN ANTONIO</t>
  </si>
  <si>
    <t>REEMPLAZO DE RECONECTADOR 13,8 KV EN LA SALIDA DEL CIRCUITO  13,8 KV GUARIQUEN</t>
  </si>
  <si>
    <t>TRES PICOS</t>
  </si>
  <si>
    <t>MARCA:  SIEMENS
MODELO: H515-20/630-500
MEDIO DE EXTINCIÓN: ACEITE DIELÉCTRICO
CORRIENTE NOMINAL:  630 A
CORRIENTE DE CORTOCIRCUITO:  14,5 KA
AÑO: 1975</t>
  </si>
  <si>
    <t>REEMPLAZO DEL INTERRUPTOR DE PROTECCIÓN D-705 CIRCUITO  13,8 KV PUERTO SUCRE</t>
  </si>
  <si>
    <t>D705</t>
  </si>
  <si>
    <t>BORDONES</t>
  </si>
  <si>
    <t xml:space="preserve">MARCA: EMA
MODELO: VE E 17-06-32
MEDIO DE EXTINCIÓN: VACÍO 
CORRIENTE NOMINAL. 630 A
CORREINTE DE CORTO CIRCUITO: 31,5KVA
AÑO:2008
</t>
  </si>
  <si>
    <t>REEMPLAZO DEL INTERRUPTOR DE ENLACE DE BARRA D-120 CIRCUITO  13,8 KV PUERTO SUCRE</t>
  </si>
  <si>
    <t>D120</t>
  </si>
  <si>
    <t>CUMANA  III</t>
  </si>
  <si>
    <t>MARCA:  HORIZON
MODELO:   HAWKER SIDDELEY SWHCHGEAR
MEDIO DE EXTINCIÓN:  VACÍO
CORRIENTE NOMINAL:  2000 A
CORRIENTE DE CORTOCIRCUITO:  31,5 KA
AÑO: 2010</t>
  </si>
  <si>
    <t>REVISIÓN Y HABILITACIÓN DEL DISYUNTOR D-480 DE LADO BAJA TRAFO MÓVIL 115/13,8 KV</t>
  </si>
  <si>
    <t>D480</t>
  </si>
  <si>
    <t>TARJETA PARA RECONECTADOR</t>
  </si>
  <si>
    <t>--------------</t>
  </si>
  <si>
    <t>-----------</t>
  </si>
  <si>
    <t>LINEAS DE MEDIA TENSION</t>
  </si>
  <si>
    <t>TABLEROS DE PROTECCIÓN (Especificar el Equipo)</t>
  </si>
  <si>
    <r>
      <t>TABLERO TIPO PB PROTECCION DE BARRAS Y FALLA INTERRUPTOR</t>
    </r>
    <r>
      <rPr>
        <vertAlign val="superscript"/>
        <sz val="10"/>
        <color indexed="8"/>
        <rFont val="Times New Roman"/>
        <family val="1"/>
      </rPr>
      <t>(6)</t>
    </r>
  </si>
  <si>
    <r>
      <t>TABLERO TIPO TLP TELEPROTECCION</t>
    </r>
    <r>
      <rPr>
        <vertAlign val="superscript"/>
        <sz val="10"/>
        <color indexed="8"/>
        <rFont val="Times New Roman"/>
        <family val="1"/>
      </rPr>
      <t>(6)</t>
    </r>
  </si>
  <si>
    <r>
      <t>TABLERO TIPO RF REGISTRADOR DE FALLAS</t>
    </r>
    <r>
      <rPr>
        <vertAlign val="superscript"/>
        <sz val="10"/>
        <color indexed="8"/>
        <rFont val="Times New Roman"/>
        <family val="1"/>
      </rPr>
      <t>(6)</t>
    </r>
  </si>
  <si>
    <r>
      <t>TABLERO TIPO PT PROTECCION DE TRANSFORMADOR</t>
    </r>
    <r>
      <rPr>
        <vertAlign val="superscript"/>
        <sz val="10"/>
        <color indexed="8"/>
        <rFont val="Times New Roman"/>
        <family val="1"/>
      </rPr>
      <t>(6)</t>
    </r>
  </si>
  <si>
    <r>
      <t>TABLERO TIPO PB PROTECCION DE BARRAS</t>
    </r>
    <r>
      <rPr>
        <vertAlign val="superscript"/>
        <sz val="10"/>
        <color indexed="8"/>
        <rFont val="Times New Roman"/>
        <family val="1"/>
      </rPr>
      <t>(6)</t>
    </r>
  </si>
  <si>
    <r>
      <t>TABLERO TIPO PBF BREAKER FAILURE</t>
    </r>
    <r>
      <rPr>
        <vertAlign val="superscript"/>
        <sz val="10"/>
        <color indexed="8"/>
        <rFont val="Times New Roman"/>
        <family val="1"/>
      </rPr>
      <t>(6)</t>
    </r>
  </si>
  <si>
    <r>
      <t>TABLERO TIPO TCOM1 COMUNICACIONES</t>
    </r>
    <r>
      <rPr>
        <vertAlign val="superscript"/>
        <sz val="10"/>
        <color indexed="8"/>
        <rFont val="Times New Roman"/>
        <family val="1"/>
      </rPr>
      <t>(6)</t>
    </r>
  </si>
  <si>
    <r>
      <t>TABLERO TIPO TCOM2 COMUNICACIONES</t>
    </r>
    <r>
      <rPr>
        <vertAlign val="superscript"/>
        <sz val="10"/>
        <color indexed="8"/>
        <rFont val="Times New Roman"/>
        <family val="1"/>
      </rPr>
      <t>(6)</t>
    </r>
  </si>
  <si>
    <r>
      <t>SISTEMA DE MONITOREO DE PROTECCIONES</t>
    </r>
    <r>
      <rPr>
        <vertAlign val="superscript"/>
        <sz val="10"/>
        <color indexed="8"/>
        <rFont val="Times New Roman"/>
        <family val="1"/>
      </rPr>
      <t>(6)</t>
    </r>
  </si>
  <si>
    <r>
      <t>TABLERO TIPO TC</t>
    </r>
    <r>
      <rPr>
        <vertAlign val="superscript"/>
        <sz val="10"/>
        <color indexed="8"/>
        <rFont val="Times New Roman"/>
        <family val="1"/>
      </rPr>
      <t>(6)</t>
    </r>
  </si>
  <si>
    <r>
      <t>TABLEROS TIPO SESP</t>
    </r>
    <r>
      <rPr>
        <vertAlign val="superscript"/>
        <sz val="10"/>
        <color indexed="8"/>
        <rFont val="Times New Roman"/>
        <family val="1"/>
      </rPr>
      <t>(6)</t>
    </r>
  </si>
  <si>
    <r>
      <t>TABLEROS 208 v.c.a.</t>
    </r>
    <r>
      <rPr>
        <vertAlign val="superscript"/>
        <sz val="10"/>
        <color indexed="8"/>
        <rFont val="Times New Roman"/>
        <family val="1"/>
      </rPr>
      <t xml:space="preserve"> (6)</t>
    </r>
  </si>
  <si>
    <r>
      <t>TABLEROS 125 v.c.c.</t>
    </r>
    <r>
      <rPr>
        <vertAlign val="superscript"/>
        <sz val="10"/>
        <color indexed="8"/>
        <rFont val="Times New Roman"/>
        <family val="1"/>
      </rPr>
      <t xml:space="preserve"> (6)</t>
    </r>
  </si>
  <si>
    <r>
      <t>TABLEROS 48 v.c.c.</t>
    </r>
    <r>
      <rPr>
        <vertAlign val="superscript"/>
        <sz val="10"/>
        <color indexed="8"/>
        <rFont val="Times New Roman"/>
        <family val="1"/>
      </rPr>
      <t xml:space="preserve"> (6)</t>
    </r>
  </si>
  <si>
    <t>RELÉS PARA DIF TENS. (Especificar el Equipo)</t>
  </si>
  <si>
    <r>
      <t xml:space="preserve">Relé de línea ultrarrápido SEL-T401L </t>
    </r>
    <r>
      <rPr>
        <vertAlign val="superscript"/>
        <sz val="10"/>
        <color indexed="8"/>
        <rFont val="Times New Roman"/>
        <family val="1"/>
      </rPr>
      <t>(27)</t>
    </r>
  </si>
  <si>
    <r>
      <t>Protección de línea de dominio del tiempo SEL-T400L</t>
    </r>
    <r>
      <rPr>
        <vertAlign val="superscript"/>
        <sz val="10"/>
        <color indexed="8"/>
        <rFont val="Times New Roman"/>
        <family val="1"/>
      </rPr>
      <t>(27)</t>
    </r>
  </si>
  <si>
    <t>15,600,00</t>
  </si>
  <si>
    <r>
      <t>Sistema de protección, automatización y control SEL-421</t>
    </r>
    <r>
      <rPr>
        <vertAlign val="superscript"/>
        <sz val="10"/>
        <color indexed="8"/>
        <rFont val="Times New Roman"/>
        <family val="1"/>
      </rPr>
      <t>(27)</t>
    </r>
  </si>
  <si>
    <r>
      <t>Sistema de protección de la transmisión SEL-311C</t>
    </r>
    <r>
      <rPr>
        <vertAlign val="superscript"/>
        <sz val="10"/>
        <color indexed="8"/>
        <rFont val="Times New Roman"/>
        <family val="1"/>
      </rPr>
      <t>(27)</t>
    </r>
  </si>
  <si>
    <r>
      <t>Sistema de automatización y protección diferencial de corriente de línea SEL-311L</t>
    </r>
    <r>
      <rPr>
        <vertAlign val="superscript"/>
        <sz val="10"/>
        <color indexed="8"/>
        <rFont val="Times New Roman"/>
        <family val="1"/>
      </rPr>
      <t>(27)</t>
    </r>
  </si>
  <si>
    <r>
      <t>Sistema de protección diferencial, automatización y control de línea avanzado SEL-411L</t>
    </r>
    <r>
      <rPr>
        <vertAlign val="superscript"/>
        <sz val="10"/>
        <color indexed="8"/>
        <rFont val="Times New Roman"/>
        <family val="1"/>
      </rPr>
      <t>(27)</t>
    </r>
  </si>
  <si>
    <r>
      <t>Relé diferencial de corriente de línea SEL-387L</t>
    </r>
    <r>
      <rPr>
        <vertAlign val="superscript"/>
        <sz val="10"/>
        <color indexed="8"/>
        <rFont val="Times New Roman"/>
        <family val="1"/>
      </rPr>
      <t>(27)</t>
    </r>
  </si>
  <si>
    <r>
      <t>Relé de protección de transformador SEL-487E</t>
    </r>
    <r>
      <rPr>
        <vertAlign val="superscript"/>
        <sz val="10"/>
        <color indexed="8"/>
        <rFont val="Times New Roman"/>
        <family val="1"/>
      </rPr>
      <t>(27)</t>
    </r>
  </si>
  <si>
    <r>
      <t>Relé de protección de transformador SEL-787-2/-3/-4</t>
    </r>
    <r>
      <rPr>
        <vertAlign val="superscript"/>
        <sz val="10"/>
        <color indexed="8"/>
        <rFont val="Times New Roman"/>
        <family val="1"/>
      </rPr>
      <t>(27)</t>
    </r>
  </si>
  <si>
    <r>
      <t>Relé de tensión y diferencial de corriente SEL-387E</t>
    </r>
    <r>
      <rPr>
        <vertAlign val="superscript"/>
        <sz val="10"/>
        <color indexed="8"/>
        <rFont val="Times New Roman"/>
        <family val="1"/>
      </rPr>
      <t>(27)</t>
    </r>
  </si>
  <si>
    <r>
      <t>Sistema avanzado de protección del generador SEL-400G</t>
    </r>
    <r>
      <rPr>
        <vertAlign val="superscript"/>
        <sz val="10"/>
        <color indexed="8"/>
        <rFont val="Times New Roman"/>
        <family val="1"/>
      </rPr>
      <t>(27)</t>
    </r>
  </si>
  <si>
    <r>
      <t>Relé diferencial de corriente y sobrecorriente SEL-387A</t>
    </r>
    <r>
      <rPr>
        <vertAlign val="superscript"/>
        <sz val="10"/>
        <color indexed="8"/>
        <rFont val="Times New Roman"/>
        <family val="1"/>
      </rPr>
      <t>(27)</t>
    </r>
  </si>
  <si>
    <r>
      <t>Relé diferencial de alta impedancia SEL-587Z</t>
    </r>
    <r>
      <rPr>
        <vertAlign val="superscript"/>
        <sz val="10"/>
        <color indexed="8"/>
        <rFont val="Times New Roman"/>
        <family val="1"/>
      </rPr>
      <t>(27)</t>
    </r>
  </si>
  <si>
    <r>
      <t>Relé diferencial de corriente SEL-587</t>
    </r>
    <r>
      <rPr>
        <vertAlign val="superscript"/>
        <sz val="10"/>
        <color indexed="8"/>
        <rFont val="Times New Roman"/>
        <family val="1"/>
      </rPr>
      <t>(27)</t>
    </r>
  </si>
  <si>
    <r>
      <t>Relé de protección de alimentador SEL-75</t>
    </r>
    <r>
      <rPr>
        <vertAlign val="superscript"/>
        <sz val="10"/>
        <color indexed="8"/>
        <rFont val="Times New Roman"/>
        <family val="1"/>
      </rPr>
      <t>(27)</t>
    </r>
  </si>
  <si>
    <r>
      <t>Sistema de protección SEL-351S</t>
    </r>
    <r>
      <rPr>
        <vertAlign val="superscript"/>
        <sz val="10"/>
        <color indexed="8"/>
        <rFont val="Times New Roman"/>
        <family val="1"/>
      </rPr>
      <t>(27)</t>
    </r>
  </si>
  <si>
    <r>
      <t>Sistema de protección, automatización y control de bahía SEL-451</t>
    </r>
    <r>
      <rPr>
        <vertAlign val="superscript"/>
        <sz val="10"/>
        <color indexed="8"/>
        <rFont val="Times New Roman"/>
        <family val="1"/>
      </rPr>
      <t>(27)</t>
    </r>
  </si>
  <si>
    <r>
      <t>Relé de sobrecorriente/recierre SEL-551C</t>
    </r>
    <r>
      <rPr>
        <vertAlign val="superscript"/>
        <sz val="10"/>
        <color indexed="8"/>
        <rFont val="Times New Roman"/>
        <family val="1"/>
      </rPr>
      <t>(27)</t>
    </r>
  </si>
  <si>
    <r>
      <t>Relé de fallo del interruptor SEL-352</t>
    </r>
    <r>
      <rPr>
        <vertAlign val="superscript"/>
        <sz val="10"/>
        <color indexed="8"/>
        <rFont val="Times New Roman"/>
        <family val="1"/>
      </rPr>
      <t>(27)</t>
    </r>
  </si>
  <si>
    <t>Relé de fallo de interruptor y diferencial de barra SEL-487B</t>
  </si>
  <si>
    <r>
      <t>Medidor de calidad de energía e ingresos SEL-735</t>
    </r>
    <r>
      <rPr>
        <vertAlign val="superscript"/>
        <sz val="10"/>
        <color indexed="8"/>
        <rFont val="Times New Roman"/>
        <family val="1"/>
      </rPr>
      <t>(27)</t>
    </r>
  </si>
  <si>
    <r>
      <t>FECHA DE ACTUALIZACIÓN:</t>
    </r>
    <r>
      <rPr>
        <sz val="12"/>
        <color indexed="8"/>
        <rFont val="Times New Roman"/>
        <family val="1"/>
      </rPr>
      <t xml:space="preserve"> 11/08/2025</t>
    </r>
  </si>
  <si>
    <t>RECONECTADOR VACIO 34,5 KV 560A (14)</t>
  </si>
  <si>
    <t>RECONECTADOR VACIO 13,8 KV560A(14)</t>
  </si>
  <si>
    <t>RECONECTADOR DE POTENCIA 24 KV(14)</t>
  </si>
  <si>
    <t>PRECIOS SECCIONADORES SUMERGIBLES REGION CAPITAL</t>
  </si>
  <si>
    <r>
      <t>SECCIONADOR (3-fases, 15,5 kV, 600 A, 60 Hz- Short Time Currente, 25 kA/1s; Manual- SUMERGIBLE 4 vias, BARRA PARTIDA</t>
    </r>
    <r>
      <rPr>
        <vertAlign val="superscript"/>
        <sz val="10"/>
        <color indexed="8"/>
        <rFont val="Times New Roman"/>
        <family val="1"/>
      </rPr>
      <t>(24)</t>
    </r>
  </si>
  <si>
    <t>-------------</t>
  </si>
  <si>
    <r>
      <t>SECCIONADOR (3-fases, 15,5 kV, 600 A, 60 Hz- Short Time Currente, 25 kA/1s; Manual- SUMERGIBLE 3 viasv</t>
    </r>
    <r>
      <rPr>
        <vertAlign val="superscript"/>
        <sz val="10"/>
        <color indexed="8"/>
        <rFont val="Times New Roman"/>
        <family val="1"/>
      </rPr>
      <t>(24)</t>
    </r>
  </si>
  <si>
    <r>
      <t>SECCIONADOR (3-fases, 15,5 kV, 600 A, 60 Hz- Short Time Currente, 25 kA/1s; Manual- SUMERGIBLE 2 vias</t>
    </r>
    <r>
      <rPr>
        <vertAlign val="superscript"/>
        <sz val="10"/>
        <color indexed="8"/>
        <rFont val="Times New Roman"/>
        <family val="1"/>
      </rPr>
      <t>(24)</t>
    </r>
  </si>
  <si>
    <t>SECCIONADOR 34,5 kV, ; In 1200 AMP; Icc 25 kA</t>
  </si>
  <si>
    <t>PRECIOS DE BANCO DE CAPACITORES MT</t>
  </si>
  <si>
    <r>
      <t>BANCO FIJO DE CAPACITORES TIPO POSTE MODELO BCF-CR-16, 34.5KV, 900KVAR</t>
    </r>
    <r>
      <rPr>
        <vertAlign val="superscript"/>
        <sz val="10"/>
        <color indexed="8"/>
        <rFont val="Times New Roman"/>
        <family val="1"/>
      </rPr>
      <t>(28)</t>
    </r>
  </si>
  <si>
    <r>
      <t>BANCO FIJO DE CAPACITORES TIPO POSTE 13.8KV, 300KVAR</t>
    </r>
    <r>
      <rPr>
        <vertAlign val="superscript"/>
        <sz val="10"/>
        <color indexed="8"/>
        <rFont val="Times New Roman"/>
        <family val="1"/>
      </rPr>
      <t>(28)</t>
    </r>
  </si>
  <si>
    <r>
      <t>BANCO FIJO DE CAPACITORES TIPO POSTE MODELO BCF-CR-16, 13.8KV, 900KVAR</t>
    </r>
    <r>
      <rPr>
        <vertAlign val="superscript"/>
        <sz val="10"/>
        <color indexed="8"/>
        <rFont val="Times New Roman"/>
        <family val="1"/>
      </rPr>
      <t>(28)</t>
    </r>
  </si>
  <si>
    <t xml:space="preserve">BANCO FIJO DE CAPACITORES TIPO POSTE </t>
  </si>
  <si>
    <r>
      <t>13.8KV, 600KVAR</t>
    </r>
    <r>
      <rPr>
        <vertAlign val="superscript"/>
        <sz val="10"/>
        <color indexed="8"/>
        <rFont val="Times New Roman"/>
        <family val="1"/>
      </rPr>
      <t>(28)</t>
    </r>
  </si>
  <si>
    <r>
      <t>CAPACITOR MONOFASICO DE 150KVAR, 8320V</t>
    </r>
    <r>
      <rPr>
        <vertAlign val="superscript"/>
        <sz val="10"/>
        <color indexed="8"/>
        <rFont val="Times New Roman"/>
        <family val="1"/>
      </rPr>
      <t>(28)</t>
    </r>
  </si>
  <si>
    <r>
      <t>SUBESTACIÓN MÓVIL 15MVA (ONAN) -34,5/ 14,1 KV</t>
    </r>
    <r>
      <rPr>
        <vertAlign val="superscript"/>
        <sz val="10"/>
        <color indexed="8"/>
        <rFont val="Times New Roman"/>
        <family val="1"/>
      </rPr>
      <t>(22)</t>
    </r>
  </si>
  <si>
    <r>
      <t xml:space="preserve">SUBESTACIÓN MÓVIL </t>
    </r>
    <r>
      <rPr>
        <sz val="9"/>
        <color rgb="FF000000"/>
        <rFont val="Times New Roman"/>
        <family val="1"/>
      </rPr>
      <t>TRANSFORMADOR POTENCIA 42 MVA; 115/34.5 KV</t>
    </r>
    <r>
      <rPr>
        <vertAlign val="superscript"/>
        <sz val="10"/>
        <color indexed="8"/>
        <rFont val="Times New Roman"/>
        <family val="1"/>
      </rPr>
      <t>(22)</t>
    </r>
  </si>
  <si>
    <r>
      <t xml:space="preserve">SUBESTACIÓN MÓVIL </t>
    </r>
    <r>
      <rPr>
        <sz val="9"/>
        <color rgb="FF000000"/>
        <rFont val="Times New Roman"/>
        <family val="1"/>
      </rPr>
      <t>TRANSFORMADORES POTENCIA 83 MVA; 115/34.5 KV</t>
    </r>
    <r>
      <rPr>
        <vertAlign val="superscript"/>
        <sz val="10"/>
        <color indexed="8"/>
        <rFont val="Times New Roman"/>
        <family val="1"/>
      </rPr>
      <t>(22)</t>
    </r>
  </si>
  <si>
    <r>
      <t xml:space="preserve">SUBESTACIÓN MÓVIL </t>
    </r>
    <r>
      <rPr>
        <sz val="9"/>
        <color rgb="FF000000"/>
        <rFont val="Times New Roman"/>
        <family val="1"/>
      </rPr>
      <t>TRANSFORMADORES POTENCIA 28 MVA; 69/12,47 KV</t>
    </r>
    <r>
      <rPr>
        <vertAlign val="superscript"/>
        <sz val="10"/>
        <color indexed="8"/>
        <rFont val="Times New Roman"/>
        <family val="1"/>
      </rPr>
      <t>(22)</t>
    </r>
  </si>
  <si>
    <r>
      <t>SUBESTACIÓN MÓVIL 15 MVA, 34,5/14,1 KV</t>
    </r>
    <r>
      <rPr>
        <vertAlign val="superscript"/>
        <sz val="10"/>
        <color indexed="8"/>
        <rFont val="Times New Roman"/>
        <family val="1"/>
      </rPr>
      <t>(23)</t>
    </r>
  </si>
  <si>
    <t>SUBESTACIÓN ELÉCTRICA MÓVIL 110/13,8 KV, 15 MVA, EN ESPAÑA</t>
  </si>
  <si>
    <t>SUBESTACIÓN MÓVIL 25 MVA, 110/23 KVA, EN CHILE</t>
  </si>
  <si>
    <t>PRECIOS DE CABLES Y CONDUCTORES DESNUDOS</t>
  </si>
  <si>
    <t>CONDUCTORES DE ALUMINIO ACSR</t>
  </si>
  <si>
    <t xml:space="preserve">266.8 kcmil “Waxwing” </t>
  </si>
  <si>
    <t>-----------------</t>
  </si>
  <si>
    <t>2,27 USD/m</t>
  </si>
  <si>
    <t>266.8 kcmil “Partridge”</t>
  </si>
  <si>
    <t>----------------</t>
  </si>
  <si>
    <t>2,73 USD/m</t>
  </si>
  <si>
    <t>336.4 kcmil “Merlin”</t>
  </si>
  <si>
    <t>2,42 USD/m</t>
  </si>
  <si>
    <t>336.4 kcmil “Linnet”</t>
  </si>
  <si>
    <t>2,78 USD/m</t>
  </si>
  <si>
    <t>336.4 kcmil “Oriole”</t>
  </si>
  <si>
    <t>3,47 USD/m</t>
  </si>
  <si>
    <t>795 kcmil “Coot”</t>
  </si>
  <si>
    <t>5,38 USD/m</t>
  </si>
  <si>
    <t>795 kcmil “Tern”</t>
  </si>
  <si>
    <t>5,08 USD/m</t>
  </si>
  <si>
    <t>795 kcmil “Cuckoo”</t>
  </si>
  <si>
    <t>5,66 USD/m</t>
  </si>
  <si>
    <t>795 kcmil “Condor”</t>
  </si>
  <si>
    <t>5,88 USD/m</t>
  </si>
  <si>
    <t>795 kcmil “Drake”</t>
  </si>
  <si>
    <t>6,36 USD/m</t>
  </si>
  <si>
    <t>CONDUCTORES DE ALUMINIO AAAC (6201 T-81)</t>
  </si>
  <si>
    <t>AWG 4/0 (7 hilos)</t>
  </si>
  <si>
    <t>2,40 USD/m</t>
  </si>
  <si>
    <t>MCM  336,4 (30/7) ORIOLE</t>
  </si>
  <si>
    <t>5,35 USD/m</t>
  </si>
  <si>
    <t>MCM  500,0 (30/7) HERON</t>
  </si>
  <si>
    <t>8,32 USD/m</t>
  </si>
  <si>
    <t>MCM 559,5 (19 hilos) DARIEN</t>
  </si>
  <si>
    <t>6,85 USD/m</t>
  </si>
  <si>
    <t>MCM  636,0 (24/7) ROOK</t>
  </si>
  <si>
    <t>8,93 USD/m</t>
  </si>
  <si>
    <t>MCM  636,0 (26/7) GROSBECK</t>
  </si>
  <si>
    <t>9,39 USD/m</t>
  </si>
  <si>
    <t>MCM 636,0 (30/19) EGRET</t>
  </si>
  <si>
    <t>11,07 USD/m</t>
  </si>
  <si>
    <t>MCM 927,2 (37 hilos) GREELEY</t>
  </si>
  <si>
    <t>11,27 USD/m</t>
  </si>
  <si>
    <t>CONDUCTORES DE ALUMINIO ACAR (1350 H-19 1 6201 T-81)</t>
  </si>
  <si>
    <t>AWG 4/0 ( 4/3 )</t>
  </si>
  <si>
    <t>2,35 USD/m</t>
  </si>
  <si>
    <t>MCM  350 ( 15/4 )</t>
  </si>
  <si>
    <t>4,07 USD/m</t>
  </si>
  <si>
    <t>MCM  500 ( 12/7 )</t>
  </si>
  <si>
    <t>5,82 USD/m</t>
  </si>
  <si>
    <t>MCM  500 ( 30/7 )</t>
  </si>
  <si>
    <t>5,79 USD/m</t>
  </si>
  <si>
    <t>MCM  500 ( 18/19 )</t>
  </si>
  <si>
    <t>5,86 USD/m</t>
  </si>
  <si>
    <t>MCM 1000 ( 30/7 )</t>
  </si>
  <si>
    <t>11,63 USD/m</t>
  </si>
  <si>
    <t>MCM  1000 (18/19)</t>
  </si>
  <si>
    <t>11,81 USD/m</t>
  </si>
  <si>
    <t>MCM  1100 ( 30/7 )</t>
  </si>
  <si>
    <t>12,78 USD/m</t>
  </si>
  <si>
    <t>MCM  1100 (18/19)</t>
  </si>
  <si>
    <t>12,97 USD/m</t>
  </si>
  <si>
    <t>CONDUCTORES DE COBRE</t>
  </si>
  <si>
    <t>CABLES Cu DESNUDO #4/0 AWG 19Н CLASEA</t>
  </si>
  <si>
    <t>12,65 USD/m</t>
  </si>
  <si>
    <t>CABLES Cu DESNUDO  #350 kcmil 37Н</t>
  </si>
  <si>
    <t>21,92 USD/m</t>
  </si>
  <si>
    <t>CABLE DE COBRE PARA 15, 25 Y 35 KV,  133% N.A. CON PANTALLA TIPO: XLPE</t>
  </si>
  <si>
    <t>AWG 2/0</t>
  </si>
  <si>
    <t>28,50 USD/m</t>
  </si>
  <si>
    <t xml:space="preserve">AWG 4/0 </t>
  </si>
  <si>
    <t>38,51 USD/m</t>
  </si>
  <si>
    <t>MCM 250</t>
  </si>
  <si>
    <t>43,68 USD/m</t>
  </si>
  <si>
    <t>MCM 500</t>
  </si>
  <si>
    <t>76,41 USD/m</t>
  </si>
  <si>
    <t>MCM 750</t>
  </si>
  <si>
    <t>108,81 USD/m</t>
  </si>
  <si>
    <t>MCM 1000</t>
  </si>
  <si>
    <t>141,07 USD/m</t>
  </si>
  <si>
    <t>A 13,8 KV</t>
  </si>
  <si>
    <t>A 34,5 KV</t>
  </si>
  <si>
    <r>
      <t>BATERÍAS ($/AH) (banco de baterías 500 A-H)</t>
    </r>
    <r>
      <rPr>
        <vertAlign val="superscript"/>
        <sz val="10"/>
        <color indexed="8"/>
        <rFont val="Times New Roman"/>
        <family val="1"/>
      </rPr>
      <t xml:space="preserve"> </t>
    </r>
  </si>
  <si>
    <t>TABLERO TIPO PL 1 PROTECCION DE LINEA</t>
  </si>
  <si>
    <t>TABLERO TIPO PL 3 PROTECCION DE LINEA</t>
  </si>
  <si>
    <t>TABLERO TIPO TLP 3 TELEPROTECCION</t>
  </si>
  <si>
    <t>TABLERO TIPO PB 1 PROTECCION DE BARRAS</t>
  </si>
  <si>
    <t>BANCO AUTOMATICO TIPO SUBESTACION DE 1800KVAR, 34KV</t>
  </si>
  <si>
    <t>BANCO FIJO DE CAPACITORES TIPO POSTE 100KVAR, 23KV</t>
  </si>
  <si>
    <t>BANCO DE CAPACITOR FIJO DE 15MVAR, 115KV</t>
  </si>
  <si>
    <t>BANCO FIJO DE CAPACITORES TIPO POSTE 34.5KV, 150KVAR</t>
  </si>
  <si>
    <t>BANCO FIJO DE CAPACITORES TIPO POSTE DE 300KVAR, 34KV</t>
  </si>
  <si>
    <t>CAPACITOR DE POTENCIA MONOFASICO DE 200KVAR, 8320V</t>
  </si>
  <si>
    <t>INTERRUPTOR EN VACIO 34,5 kV, 1250 A</t>
  </si>
  <si>
    <t>INTERRUPTOR EN VACIO 13,8 kV, 1200 A</t>
  </si>
  <si>
    <t>SECCIONADOR 13,8 kV; In 1200 AMP; Icc 25 Ka</t>
  </si>
  <si>
    <t>OTROS EQUIPO PRECIOS DE SUBESTACIONES MOVILES</t>
  </si>
  <si>
    <t>ACEITEDIELECTRICO</t>
  </si>
  <si>
    <t>ACCIÓN OPERATIVA 
(BREVE DESCRIPCION DE LOS TRABAJOS  A REALIZAR)</t>
  </si>
  <si>
    <t>m2</t>
  </si>
  <si>
    <t>m3</t>
  </si>
  <si>
    <t>m</t>
  </si>
  <si>
    <t>kg</t>
  </si>
  <si>
    <t>litro</t>
  </si>
  <si>
    <t>FECHA PROGRAMADA DE INTERVENCION</t>
  </si>
  <si>
    <t>CANTIDAD DE EQUIPO A  O COMPONENTE A NORMALIZAR</t>
  </si>
  <si>
    <t>IDENTIFICADOR EQUIPO O COMPONENTE A  NORMALIZAR</t>
  </si>
  <si>
    <t>CORTACORRIENTE 12,47 KV</t>
  </si>
  <si>
    <t>POSTE</t>
  </si>
  <si>
    <t>ACEITE DIELECTRICO CON UN NIVEL DE AISLAMIENTO SUPERIOR A LOS 42 KV</t>
  </si>
  <si>
    <t>REPOSICIÓN DE ACEITE DIELÉCTRICO A TRANSFORMADOR DE POTENCIA DE LA SUBESTACIÓN</t>
  </si>
  <si>
    <t>ALTA</t>
  </si>
  <si>
    <t>MEDIA</t>
  </si>
  <si>
    <t>REEMPLAZO DE RECONECTADOR 13,8 KV EN LA SALIDA DEL CIRCUITO  13,8 KV GUARAPICHE</t>
  </si>
  <si>
    <t>REEMPLAZO DE DISYUNTOR 34,5 KV DEL TX DE POTENCIA N° 2</t>
  </si>
  <si>
    <t>REEMPLAZO DE DISYUNTOR 34,5 KV DEL TX DE POTENCIA N° 1</t>
  </si>
  <si>
    <t>B210</t>
  </si>
  <si>
    <t>DEL 02-03-2026 AL 31-12-2026</t>
  </si>
  <si>
    <t>REEMPLAZO DE RECONECTADOR 13,8 KV EN LA SALIDA DEL CIRCUITO  13,8 KV CARUPANO ARRIBA</t>
  </si>
  <si>
    <t>REEMPLAZO DE RECONECTADOR 13,8 KV EN LA SALIDA DEL CIRCUITO  13,8 KV PLAZA COLON</t>
  </si>
  <si>
    <t>REEMPLAZO DE RECONECTADOR 13,8 KV EN LA SALIDA DEL CIRCUITO  13,8 KV TIO PEDRO</t>
  </si>
  <si>
    <t>REEMPLAZO DE RECONECTADOR 13,8 KV EN LA SALIDA DEL CIRCUITO  13,8 KV CUMANACOA II</t>
  </si>
  <si>
    <t>REEMPLAZO DE RECONECTADOR 13,8 KV EN LA SALIDA DEL CIRCUITO  13,8 KV ALGARROBO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</si>
</sst>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\-??_ ;_ @_ "/>
    <numFmt numFmtId="165" formatCode="0.0"/>
    <numFmt numFmtId="166" formatCode="_ * #,##0_ ;_ * \-#,##0_ ;_ * \-??_ ;_ @_ "/>
  </numFmts>
  <fonts count="53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3"/>
      <name val="Calibri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Arial1"/>
    </font>
    <font>
      <sz val="11"/>
      <color indexed="9"/>
      <name val="Calibri"/>
      <family val="2"/>
    </font>
    <font>
      <sz val="16"/>
      <name val="Arial"/>
      <family val="2"/>
    </font>
    <font>
      <sz val="18"/>
      <color indexed="8"/>
      <name val="Calibri"/>
      <family val="2"/>
    </font>
    <font>
      <b/>
      <sz val="10"/>
      <color indexed="9"/>
      <name val="Arial"/>
      <family val="2"/>
      <charset val="1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9"/>
      <name val="Calibri"/>
      <family val="2"/>
      <charset val="1"/>
    </font>
    <font>
      <sz val="9"/>
      <color indexed="8"/>
      <name val="Calibri"/>
      <family val="2"/>
      <charset val="1"/>
    </font>
    <font>
      <sz val="10"/>
      <color indexed="9"/>
      <name val="Calibri"/>
      <family val="2"/>
      <charset val="1"/>
    </font>
    <font>
      <sz val="8"/>
      <color indexed="8"/>
      <name val="Arial"/>
      <family val="2"/>
    </font>
    <font>
      <sz val="8"/>
      <name val="Arial"/>
      <family val="2"/>
    </font>
    <font>
      <i/>
      <sz val="11"/>
      <color indexed="23"/>
      <name val="Calibri"/>
      <family val="2"/>
    </font>
    <font>
      <sz val="11"/>
      <color indexed="8"/>
      <name val="Arial1"/>
      <charset val="1"/>
    </font>
    <font>
      <sz val="11"/>
      <color indexed="9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9"/>
      <color indexed="8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8"/>
      <color indexed="8"/>
      <name val="Arial"/>
      <family val="2"/>
    </font>
    <font>
      <sz val="12"/>
      <color indexed="8"/>
      <name val="Aptos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vertAlign val="superscript"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Calibri"/>
      <family val="2"/>
    </font>
    <font>
      <b/>
      <sz val="12"/>
      <color indexed="8"/>
      <name val="Times New Roman"/>
      <family val="1"/>
    </font>
    <font>
      <b/>
      <sz val="12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indexed="54"/>
        <bgColor indexed="23"/>
      </patternFill>
    </fill>
    <fill>
      <patternFill patternType="solid">
        <fgColor indexed="54"/>
        <bgColor indexed="55"/>
      </patternFill>
    </fill>
    <fill>
      <patternFill patternType="solid">
        <fgColor indexed="52"/>
        <bgColor indexed="29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34"/>
      </patternFill>
    </fill>
    <fill>
      <patternFill patternType="solid">
        <fgColor indexed="50"/>
        <bgColor indexed="51"/>
      </patternFill>
    </fill>
    <fill>
      <patternFill patternType="solid">
        <fgColor indexed="10"/>
        <bgColor indexed="60"/>
      </patternFill>
    </fill>
    <fill>
      <patternFill patternType="solid">
        <fgColor indexed="11"/>
        <bgColor indexed="4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2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2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31"/>
      </patternFill>
    </fill>
    <fill>
      <patternFill patternType="solid">
        <fgColor rgb="FF00B0F0"/>
        <bgColor indexed="31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31"/>
      </patternFill>
    </fill>
    <fill>
      <patternFill patternType="solid">
        <fgColor theme="6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thick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3">
    <xf numFmtId="0" fontId="0" fillId="0" borderId="0"/>
    <xf numFmtId="0" fontId="24" fillId="10" borderId="0">
      <alignment horizontal="left" vertical="center"/>
    </xf>
    <xf numFmtId="0" fontId="24" fillId="10" borderId="0">
      <alignment horizontal="left" vertical="center"/>
    </xf>
    <xf numFmtId="0" fontId="6" fillId="2" borderId="0" applyNumberFormat="0" applyBorder="0" applyAlignment="0" applyProtection="0"/>
    <xf numFmtId="0" fontId="22" fillId="3" borderId="0" applyNumberFormat="0" applyBorder="0" applyProtection="0"/>
    <xf numFmtId="0" fontId="11" fillId="0" borderId="0"/>
    <xf numFmtId="0" fontId="4" fillId="0" borderId="0"/>
    <xf numFmtId="0" fontId="24" fillId="11" borderId="0">
      <alignment horizontal="left" vertical="center"/>
    </xf>
    <xf numFmtId="0" fontId="24" fillId="11" borderId="0">
      <alignment horizontal="left" vertical="center"/>
    </xf>
    <xf numFmtId="165" fontId="12" fillId="0" borderId="0" applyFont="0" applyFill="0" applyBorder="0" applyAlignment="0" applyProtection="0"/>
    <xf numFmtId="0" fontId="17" fillId="4" borderId="0" applyBorder="0" applyProtection="0"/>
    <xf numFmtId="0" fontId="17" fillId="5" borderId="0" applyBorder="0" applyProtection="0"/>
    <xf numFmtId="0" fontId="17" fillId="6" borderId="0" applyBorder="0" applyProtection="0"/>
    <xf numFmtId="0" fontId="23" fillId="0" borderId="0" applyNumberFormat="0" applyFill="0" applyBorder="0" applyProtection="0"/>
    <xf numFmtId="0" fontId="20" fillId="0" borderId="0" applyNumberFormat="0" applyFill="0" applyBorder="0" applyAlignment="0" applyProtection="0"/>
    <xf numFmtId="164" fontId="11" fillId="0" borderId="0" applyFill="0" applyBorder="0" applyAlignment="0" applyProtection="0"/>
    <xf numFmtId="164" fontId="4" fillId="0" borderId="0" applyFill="0" applyBorder="0" applyProtection="0"/>
    <xf numFmtId="0" fontId="3" fillId="0" borderId="0">
      <alignment vertical="top"/>
    </xf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2" fillId="0" borderId="0"/>
    <xf numFmtId="0" fontId="11" fillId="0" borderId="0"/>
    <xf numFmtId="0" fontId="4" fillId="0" borderId="0"/>
    <xf numFmtId="0" fontId="24" fillId="0" borderId="0"/>
    <xf numFmtId="0" fontId="24" fillId="0" borderId="0"/>
    <xf numFmtId="0" fontId="12" fillId="0" borderId="0"/>
    <xf numFmtId="0" fontId="4" fillId="0" borderId="0"/>
    <xf numFmtId="0" fontId="24" fillId="0" borderId="0"/>
    <xf numFmtId="0" fontId="11" fillId="0" borderId="0"/>
    <xf numFmtId="0" fontId="4" fillId="0" borderId="0"/>
    <xf numFmtId="0" fontId="4" fillId="0" borderId="0">
      <alignment vertical="top"/>
    </xf>
    <xf numFmtId="0" fontId="5" fillId="0" borderId="0"/>
    <xf numFmtId="0" fontId="21" fillId="0" borderId="0"/>
    <xf numFmtId="0" fontId="24" fillId="0" borderId="0"/>
    <xf numFmtId="0" fontId="24" fillId="12" borderId="0">
      <alignment horizontal="left" vertical="center"/>
    </xf>
    <xf numFmtId="0" fontId="24" fillId="12" borderId="0">
      <alignment horizontal="left" vertical="center"/>
    </xf>
    <xf numFmtId="0" fontId="4" fillId="0" borderId="0"/>
    <xf numFmtId="0" fontId="11" fillId="0" borderId="0"/>
  </cellStyleXfs>
  <cellXfs count="160">
    <xf numFmtId="0" fontId="0" fillId="0" borderId="0" xfId="0"/>
    <xf numFmtId="0" fontId="7" fillId="0" borderId="0" xfId="18" applyFont="1" applyAlignment="1">
      <alignment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/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13" fillId="13" borderId="4" xfId="0" applyFont="1" applyFill="1" applyBorder="1" applyAlignment="1">
      <alignment vertical="center" wrapText="1"/>
    </xf>
    <xf numFmtId="0" fontId="13" fillId="14" borderId="4" xfId="0" applyFont="1" applyFill="1" applyBorder="1" applyAlignment="1">
      <alignment vertical="center" wrapText="1"/>
    </xf>
    <xf numFmtId="0" fontId="13" fillId="10" borderId="4" xfId="0" applyFont="1" applyFill="1" applyBorder="1" applyAlignment="1">
      <alignment vertical="center" wrapText="1"/>
    </xf>
    <xf numFmtId="0" fontId="13" fillId="15" borderId="4" xfId="0" applyFont="1" applyFill="1" applyBorder="1" applyAlignment="1">
      <alignment vertical="center"/>
    </xf>
    <xf numFmtId="0" fontId="13" fillId="16" borderId="4" xfId="0" applyFont="1" applyFill="1" applyBorder="1" applyAlignment="1">
      <alignment vertical="center" wrapText="1"/>
    </xf>
    <xf numFmtId="0" fontId="0" fillId="17" borderId="4" xfId="0" applyFill="1" applyBorder="1" applyAlignment="1">
      <alignment vertical="center"/>
    </xf>
    <xf numFmtId="0" fontId="13" fillId="18" borderId="4" xfId="0" applyFont="1" applyFill="1" applyBorder="1" applyAlignment="1">
      <alignment vertical="center" wrapText="1"/>
    </xf>
    <xf numFmtId="0" fontId="13" fillId="19" borderId="4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2" borderId="0" xfId="5" applyFont="1" applyFill="1" applyAlignment="1">
      <alignment horizontal="center" vertical="center" wrapText="1"/>
    </xf>
    <xf numFmtId="0" fontId="15" fillId="7" borderId="0" xfId="5" applyFont="1" applyFill="1" applyAlignment="1">
      <alignment horizontal="center" vertical="center" wrapText="1"/>
    </xf>
    <xf numFmtId="0" fontId="16" fillId="0" borderId="0" xfId="5" applyFont="1"/>
    <xf numFmtId="0" fontId="13" fillId="9" borderId="3" xfId="31" applyFont="1" applyFill="1" applyBorder="1" applyAlignment="1">
      <alignment horizontal="center" vertical="center"/>
    </xf>
    <xf numFmtId="0" fontId="13" fillId="9" borderId="3" xfId="3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26" fillId="21" borderId="0" xfId="0" applyFont="1" applyFill="1"/>
    <xf numFmtId="0" fontId="26" fillId="0" borderId="0" xfId="0" applyFont="1"/>
    <xf numFmtId="0" fontId="25" fillId="0" borderId="0" xfId="0" applyFont="1"/>
    <xf numFmtId="0" fontId="0" fillId="0" borderId="0" xfId="0" applyAlignment="1">
      <alignment wrapText="1"/>
    </xf>
    <xf numFmtId="0" fontId="27" fillId="12" borderId="17" xfId="0" applyFont="1" applyFill="1" applyBorder="1" applyAlignment="1">
      <alignment horizontal="center" vertical="center"/>
    </xf>
    <xf numFmtId="0" fontId="24" fillId="0" borderId="6" xfId="35" applyFont="1" applyBorder="1" applyAlignment="1">
      <alignment horizontal="center" vertical="center"/>
    </xf>
    <xf numFmtId="0" fontId="0" fillId="22" borderId="0" xfId="0" applyFill="1"/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0" fillId="0" borderId="0" xfId="0" applyProtection="1">
      <protection locked="0"/>
    </xf>
    <xf numFmtId="0" fontId="27" fillId="12" borderId="18" xfId="0" applyFont="1" applyFill="1" applyBorder="1" applyAlignment="1">
      <alignment horizontal="center" vertical="center"/>
    </xf>
    <xf numFmtId="0" fontId="12" fillId="25" borderId="3" xfId="0" applyFont="1" applyFill="1" applyBorder="1" applyAlignment="1">
      <alignment horizontal="center" vertical="top"/>
    </xf>
    <xf numFmtId="164" fontId="11" fillId="25" borderId="3" xfId="15" applyFill="1" applyBorder="1"/>
    <xf numFmtId="0" fontId="0" fillId="0" borderId="0" xfId="0" applyAlignment="1">
      <alignment horizontal="left"/>
    </xf>
    <xf numFmtId="0" fontId="0" fillId="25" borderId="3" xfId="0" applyFill="1" applyBorder="1"/>
    <xf numFmtId="0" fontId="0" fillId="0" borderId="3" xfId="0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28" fillId="0" borderId="3" xfId="0" applyFont="1" applyBorder="1" applyAlignment="1" applyProtection="1">
      <alignment horizontal="left" vertical="center"/>
      <protection locked="0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 applyProtection="1">
      <alignment horizontal="left" vertical="center"/>
      <protection locked="0"/>
    </xf>
    <xf numFmtId="0" fontId="12" fillId="0" borderId="9" xfId="0" applyFont="1" applyBorder="1" applyAlignment="1" applyProtection="1">
      <alignment horizontal="left" vertical="center"/>
      <protection locked="0"/>
    </xf>
    <xf numFmtId="0" fontId="24" fillId="0" borderId="9" xfId="0" applyFont="1" applyBorder="1" applyAlignment="1" applyProtection="1">
      <alignment horizontal="left" vertical="center"/>
      <protection locked="0"/>
    </xf>
    <xf numFmtId="0" fontId="24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 wrapText="1"/>
      <protection locked="0"/>
    </xf>
    <xf numFmtId="0" fontId="14" fillId="0" borderId="9" xfId="0" applyFont="1" applyBorder="1" applyAlignment="1">
      <alignment horizontal="left" vertical="center" wrapText="1"/>
    </xf>
    <xf numFmtId="0" fontId="11" fillId="0" borderId="9" xfId="0" applyFont="1" applyBorder="1" applyAlignment="1" applyProtection="1">
      <alignment horizontal="left" vertical="center"/>
      <protection locked="0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8" fillId="0" borderId="3" xfId="0" applyFont="1" applyBorder="1" applyAlignment="1" applyProtection="1">
      <alignment horizontal="left" vertical="center" wrapText="1"/>
      <protection locked="0"/>
    </xf>
    <xf numFmtId="0" fontId="29" fillId="0" borderId="3" xfId="0" applyFont="1" applyBorder="1" applyAlignment="1">
      <alignment horizontal="left" vertical="center"/>
    </xf>
    <xf numFmtId="0" fontId="18" fillId="0" borderId="3" xfId="0" applyFont="1" applyBorder="1" applyAlignment="1" applyProtection="1">
      <alignment horizontal="left" vertical="center" wrapText="1"/>
      <protection locked="0"/>
    </xf>
    <xf numFmtId="0" fontId="18" fillId="0" borderId="10" xfId="0" applyFont="1" applyBorder="1" applyAlignment="1" applyProtection="1">
      <alignment horizontal="left" vertical="center" wrapText="1"/>
      <protection locked="0"/>
    </xf>
    <xf numFmtId="0" fontId="16" fillId="0" borderId="9" xfId="5" applyFont="1" applyBorder="1" applyAlignment="1">
      <alignment horizontal="center" vertical="center"/>
    </xf>
    <xf numFmtId="0" fontId="15" fillId="0" borderId="12" xfId="5" applyFont="1" applyBorder="1" applyAlignment="1">
      <alignment horizontal="center" vertical="center"/>
    </xf>
    <xf numFmtId="0" fontId="16" fillId="0" borderId="12" xfId="5" applyFont="1" applyBorder="1" applyAlignment="1">
      <alignment horizontal="center" vertical="center"/>
    </xf>
    <xf numFmtId="0" fontId="15" fillId="0" borderId="12" xfId="5" applyFont="1" applyBorder="1" applyAlignment="1">
      <alignment horizontal="center" vertical="center" wrapText="1"/>
    </xf>
    <xf numFmtId="0" fontId="15" fillId="28" borderId="13" xfId="5" applyFont="1" applyFill="1" applyBorder="1" applyAlignment="1">
      <alignment horizontal="center" vertical="center"/>
    </xf>
    <xf numFmtId="0" fontId="9" fillId="2" borderId="14" xfId="5" applyFont="1" applyFill="1" applyBorder="1" applyAlignment="1">
      <alignment horizontal="center" vertical="center" wrapText="1"/>
    </xf>
    <xf numFmtId="0" fontId="15" fillId="0" borderId="15" xfId="5" applyFont="1" applyBorder="1" applyAlignment="1">
      <alignment horizontal="center" vertical="center"/>
    </xf>
    <xf numFmtId="0" fontId="15" fillId="0" borderId="15" xfId="5" applyFont="1" applyBorder="1" applyAlignment="1">
      <alignment horizontal="center" vertical="center" wrapText="1"/>
    </xf>
    <xf numFmtId="0" fontId="16" fillId="0" borderId="15" xfId="5" applyFont="1" applyBorder="1" applyAlignment="1">
      <alignment horizontal="center" vertical="center"/>
    </xf>
    <xf numFmtId="0" fontId="15" fillId="0" borderId="16" xfId="5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right"/>
    </xf>
    <xf numFmtId="0" fontId="30" fillId="27" borderId="9" xfId="5" applyFont="1" applyFill="1" applyBorder="1" applyAlignment="1" applyProtection="1">
      <alignment horizontal="center" vertical="center" wrapText="1"/>
      <protection hidden="1"/>
    </xf>
    <xf numFmtId="0" fontId="31" fillId="25" borderId="3" xfId="0" applyFont="1" applyFill="1" applyBorder="1" applyAlignment="1" applyProtection="1">
      <alignment horizontal="left" vertical="top" wrapText="1"/>
      <protection locked="0"/>
    </xf>
    <xf numFmtId="0" fontId="31" fillId="25" borderId="3" xfId="0" applyFont="1" applyFill="1" applyBorder="1" applyAlignment="1">
      <alignment horizontal="left" vertical="top" wrapText="1"/>
    </xf>
    <xf numFmtId="0" fontId="31" fillId="24" borderId="3" xfId="21" applyFont="1" applyFill="1" applyBorder="1" applyAlignment="1">
      <alignment horizontal="left" vertical="top" wrapText="1"/>
    </xf>
    <xf numFmtId="0" fontId="34" fillId="8" borderId="9" xfId="0" applyFont="1" applyFill="1" applyBorder="1" applyAlignment="1" applyProtection="1">
      <alignment horizontal="center" vertical="center" wrapText="1"/>
      <protection locked="0"/>
    </xf>
    <xf numFmtId="0" fontId="34" fillId="8" borderId="2" xfId="0" applyFont="1" applyFill="1" applyBorder="1" applyAlignment="1" applyProtection="1">
      <alignment horizontal="center" vertical="center" wrapText="1"/>
      <protection locked="0"/>
    </xf>
    <xf numFmtId="0" fontId="33" fillId="25" borderId="3" xfId="18" applyFont="1" applyFill="1" applyBorder="1" applyAlignment="1">
      <alignment horizontal="center" vertical="center" wrapText="1"/>
    </xf>
    <xf numFmtId="0" fontId="36" fillId="28" borderId="3" xfId="0" applyFont="1" applyFill="1" applyBorder="1" applyAlignment="1">
      <alignment horizontal="left" vertical="center"/>
    </xf>
    <xf numFmtId="0" fontId="37" fillId="12" borderId="17" xfId="0" applyFont="1" applyFill="1" applyBorder="1" applyAlignment="1">
      <alignment horizontal="center" vertical="center"/>
    </xf>
    <xf numFmtId="0" fontId="2" fillId="0" borderId="1" xfId="35" applyFont="1" applyBorder="1" applyAlignment="1">
      <alignment horizontal="center" vertical="center"/>
    </xf>
    <xf numFmtId="0" fontId="29" fillId="24" borderId="3" xfId="21" applyFont="1" applyFill="1" applyBorder="1" applyAlignment="1">
      <alignment horizontal="left" vertical="top" wrapText="1"/>
    </xf>
    <xf numFmtId="0" fontId="13" fillId="14" borderId="0" xfId="0" applyFont="1" applyFill="1" applyAlignment="1">
      <alignment vertical="center" wrapText="1"/>
    </xf>
    <xf numFmtId="0" fontId="0" fillId="0" borderId="19" xfId="0" applyBorder="1"/>
    <xf numFmtId="0" fontId="38" fillId="12" borderId="17" xfId="0" applyFont="1" applyFill="1" applyBorder="1" applyAlignment="1">
      <alignment horizontal="center" vertical="center"/>
    </xf>
    <xf numFmtId="0" fontId="0" fillId="0" borderId="12" xfId="0" applyBorder="1"/>
    <xf numFmtId="0" fontId="42" fillId="0" borderId="23" xfId="0" applyFont="1" applyBorder="1" applyAlignment="1">
      <alignment horizontal="center" vertical="center" wrapText="1"/>
    </xf>
    <xf numFmtId="4" fontId="42" fillId="0" borderId="24" xfId="0" applyNumberFormat="1" applyFont="1" applyBorder="1" applyAlignment="1">
      <alignment horizontal="center" vertical="center" wrapText="1"/>
    </xf>
    <xf numFmtId="0" fontId="42" fillId="0" borderId="24" xfId="0" applyFont="1" applyBorder="1" applyAlignment="1">
      <alignment horizontal="center" vertical="center" wrapText="1"/>
    </xf>
    <xf numFmtId="0" fontId="42" fillId="0" borderId="27" xfId="0" applyFont="1" applyBorder="1" applyAlignment="1">
      <alignment horizontal="center" vertical="center" wrapText="1"/>
    </xf>
    <xf numFmtId="0" fontId="42" fillId="31" borderId="25" xfId="0" applyFont="1" applyFill="1" applyBorder="1" applyAlignment="1">
      <alignment horizontal="center" vertical="center" wrapText="1"/>
    </xf>
    <xf numFmtId="4" fontId="42" fillId="0" borderId="23" xfId="0" applyNumberFormat="1" applyFont="1" applyBorder="1" applyAlignment="1">
      <alignment horizontal="center" vertical="center" wrapText="1"/>
    </xf>
    <xf numFmtId="4" fontId="42" fillId="0" borderId="26" xfId="0" applyNumberFormat="1" applyFont="1" applyBorder="1" applyAlignment="1">
      <alignment horizontal="center" vertical="center" wrapText="1"/>
    </xf>
    <xf numFmtId="0" fontId="40" fillId="0" borderId="0" xfId="0" applyFont="1" applyAlignment="1">
      <alignment vertical="center"/>
    </xf>
    <xf numFmtId="4" fontId="46" fillId="0" borderId="24" xfId="0" applyNumberFormat="1" applyFont="1" applyBorder="1" applyAlignment="1">
      <alignment horizontal="center" vertical="center" wrapText="1"/>
    </xf>
    <xf numFmtId="4" fontId="46" fillId="0" borderId="23" xfId="0" applyNumberFormat="1" applyFont="1" applyBorder="1" applyAlignment="1">
      <alignment horizontal="center" vertical="center" wrapText="1"/>
    </xf>
    <xf numFmtId="0" fontId="42" fillId="0" borderId="26" xfId="0" applyFont="1" applyBorder="1" applyAlignment="1">
      <alignment horizontal="center" vertical="center" wrapText="1"/>
    </xf>
    <xf numFmtId="0" fontId="48" fillId="0" borderId="23" xfId="0" applyFont="1" applyBorder="1" applyAlignment="1">
      <alignment horizontal="center" vertical="center" wrapText="1"/>
    </xf>
    <xf numFmtId="0" fontId="42" fillId="0" borderId="24" xfId="0" applyFont="1" applyBorder="1" applyAlignment="1">
      <alignment vertical="center" wrapText="1"/>
    </xf>
    <xf numFmtId="0" fontId="41" fillId="30" borderId="20" xfId="0" applyFont="1" applyFill="1" applyBorder="1" applyAlignment="1">
      <alignment vertical="center" wrapText="1"/>
    </xf>
    <xf numFmtId="0" fontId="41" fillId="30" borderId="21" xfId="0" applyFont="1" applyFill="1" applyBorder="1" applyAlignment="1">
      <alignment vertical="center" wrapText="1"/>
    </xf>
    <xf numFmtId="0" fontId="41" fillId="30" borderId="22" xfId="0" applyFont="1" applyFill="1" applyBorder="1" applyAlignment="1">
      <alignment vertical="center" wrapText="1"/>
    </xf>
    <xf numFmtId="0" fontId="13" fillId="16" borderId="0" xfId="0" applyFont="1" applyFill="1" applyAlignment="1">
      <alignment vertical="center" wrapText="1"/>
    </xf>
    <xf numFmtId="164" fontId="11" fillId="8" borderId="8" xfId="15" applyFill="1" applyBorder="1" applyAlignment="1" applyProtection="1">
      <alignment horizontal="center" vertical="center" wrapText="1"/>
      <protection locked="0"/>
    </xf>
    <xf numFmtId="49" fontId="32" fillId="20" borderId="3" xfId="10" applyNumberFormat="1" applyFont="1" applyFill="1" applyBorder="1" applyAlignment="1" applyProtection="1">
      <alignment horizontal="center" vertical="center" wrapText="1"/>
      <protection hidden="1"/>
    </xf>
    <xf numFmtId="49" fontId="33" fillId="23" borderId="3" xfId="18" applyNumberFormat="1" applyFont="1" applyFill="1" applyBorder="1" applyAlignment="1">
      <alignment horizontal="center" vertical="center" wrapText="1"/>
    </xf>
    <xf numFmtId="49" fontId="33" fillId="25" borderId="3" xfId="18" applyNumberFormat="1" applyFont="1" applyFill="1" applyBorder="1" applyAlignment="1">
      <alignment horizontal="center" vertical="center" wrapText="1"/>
    </xf>
    <xf numFmtId="49" fontId="33" fillId="25" borderId="3" xfId="19" applyNumberFormat="1" applyFont="1" applyFill="1" applyBorder="1" applyAlignment="1">
      <alignment horizontal="center" vertical="center" wrapText="1"/>
    </xf>
    <xf numFmtId="49" fontId="33" fillId="25" borderId="3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0" xfId="18" applyNumberFormat="1" applyFont="1" applyAlignment="1">
      <alignment horizontal="center" vertical="center" wrapText="1"/>
    </xf>
    <xf numFmtId="49" fontId="30" fillId="20" borderId="9" xfId="10" applyNumberFormat="1" applyFont="1" applyFill="1" applyBorder="1" applyAlignment="1" applyProtection="1">
      <alignment horizontal="center" vertical="center" wrapText="1"/>
      <protection locked="0"/>
    </xf>
    <xf numFmtId="49" fontId="30" fillId="20" borderId="9" xfId="10" applyNumberFormat="1" applyFont="1" applyFill="1" applyBorder="1" applyAlignment="1" applyProtection="1">
      <alignment horizontal="center" vertical="center" wrapText="1"/>
      <protection hidden="1"/>
    </xf>
    <xf numFmtId="49" fontId="34" fillId="8" borderId="2" xfId="0" applyNumberFormat="1" applyFont="1" applyFill="1" applyBorder="1" applyAlignment="1" applyProtection="1">
      <alignment horizontal="center" vertical="center" wrapText="1"/>
      <protection locked="0"/>
    </xf>
    <xf numFmtId="166" fontId="33" fillId="0" borderId="3" xfId="15" applyNumberFormat="1" applyFont="1" applyFill="1" applyBorder="1" applyAlignment="1" applyProtection="1">
      <alignment horizontal="center" vertical="center" wrapText="1"/>
    </xf>
    <xf numFmtId="0" fontId="50" fillId="32" borderId="3" xfId="5" applyFont="1" applyFill="1" applyBorder="1" applyAlignment="1" applyProtection="1">
      <alignment horizontal="center" vertical="center" wrapText="1"/>
      <protection hidden="1"/>
    </xf>
    <xf numFmtId="0" fontId="39" fillId="26" borderId="3" xfId="5" applyFont="1" applyFill="1" applyBorder="1" applyAlignment="1" applyProtection="1">
      <alignment horizontal="center" vertical="center" wrapText="1"/>
      <protection hidden="1"/>
    </xf>
    <xf numFmtId="0" fontId="1" fillId="0" borderId="6" xfId="31" applyFont="1" applyBorder="1" applyAlignment="1">
      <alignment horizontal="center" vertical="center"/>
    </xf>
    <xf numFmtId="0" fontId="8" fillId="0" borderId="0" xfId="18" applyFont="1" applyAlignment="1">
      <alignment wrapText="1"/>
    </xf>
    <xf numFmtId="49" fontId="7" fillId="0" borderId="0" xfId="18" applyNumberFormat="1" applyFont="1" applyAlignment="1">
      <alignment wrapText="1"/>
    </xf>
    <xf numFmtId="49" fontId="7" fillId="0" borderId="0" xfId="18" applyNumberFormat="1" applyFont="1" applyAlignment="1">
      <alignment horizontal="center" wrapText="1"/>
    </xf>
    <xf numFmtId="49" fontId="0" fillId="0" borderId="0" xfId="0" applyNumberFormat="1" applyProtection="1">
      <protection locked="0"/>
    </xf>
    <xf numFmtId="164" fontId="11" fillId="0" borderId="0" xfId="15" applyFill="1" applyProtection="1">
      <protection locked="0"/>
    </xf>
    <xf numFmtId="14" fontId="33" fillId="25" borderId="3" xfId="18" applyNumberFormat="1" applyFont="1" applyFill="1" applyBorder="1" applyAlignment="1">
      <alignment horizontal="center" vertical="center" wrapText="1"/>
    </xf>
    <xf numFmtId="49" fontId="31" fillId="25" borderId="3" xfId="0" applyNumberFormat="1" applyFont="1" applyFill="1" applyBorder="1" applyAlignment="1" applyProtection="1">
      <alignment horizontal="center" vertical="center" wrapText="1"/>
      <protection locked="0"/>
    </xf>
    <xf numFmtId="49" fontId="31" fillId="24" borderId="3" xfId="19" applyNumberFormat="1" applyFont="1" applyFill="1" applyBorder="1" applyAlignment="1">
      <alignment horizontal="center" vertical="center" wrapText="1"/>
    </xf>
    <xf numFmtId="49" fontId="31" fillId="25" borderId="3" xfId="14" applyNumberFormat="1" applyFont="1" applyFill="1" applyBorder="1" applyAlignment="1" applyProtection="1">
      <alignment horizontal="center" vertical="center" wrapText="1"/>
    </xf>
    <xf numFmtId="49" fontId="31" fillId="25" borderId="3" xfId="19" applyNumberFormat="1" applyFont="1" applyFill="1" applyBorder="1" applyAlignment="1" applyProtection="1">
      <alignment horizontal="center" vertical="center" wrapText="1"/>
      <protection locked="0"/>
    </xf>
    <xf numFmtId="49" fontId="31" fillId="25" borderId="3" xfId="0" applyNumberFormat="1" applyFont="1" applyFill="1" applyBorder="1" applyAlignment="1">
      <alignment horizontal="center" vertical="center" wrapText="1"/>
    </xf>
    <xf numFmtId="49" fontId="35" fillId="29" borderId="3" xfId="0" applyNumberFormat="1" applyFont="1" applyFill="1" applyBorder="1" applyAlignment="1">
      <alignment horizontal="center" vertical="center" wrapText="1"/>
    </xf>
    <xf numFmtId="4" fontId="35" fillId="29" borderId="3" xfId="0" applyNumberFormat="1" applyFont="1" applyFill="1" applyBorder="1" applyAlignment="1">
      <alignment horizontal="center" vertical="center" wrapText="1"/>
    </xf>
    <xf numFmtId="164" fontId="11" fillId="25" borderId="3" xfId="15" applyFill="1" applyBorder="1" applyAlignment="1" applyProtection="1">
      <alignment horizontal="center" vertical="center" wrapText="1"/>
      <protection locked="0"/>
    </xf>
    <xf numFmtId="0" fontId="31" fillId="25" borderId="3" xfId="0" applyFont="1" applyFill="1" applyBorder="1" applyAlignment="1" applyProtection="1">
      <alignment horizontal="center" vertical="center" wrapText="1"/>
      <protection locked="0"/>
    </xf>
    <xf numFmtId="0" fontId="8" fillId="0" borderId="0" xfId="18" applyFont="1" applyAlignment="1">
      <alignment vertical="center"/>
    </xf>
    <xf numFmtId="49" fontId="33" fillId="0" borderId="3" xfId="19" applyNumberFormat="1" applyFont="1" applyBorder="1" applyAlignment="1">
      <alignment horizontal="center" vertical="center" wrapText="1"/>
    </xf>
    <xf numFmtId="0" fontId="33" fillId="23" borderId="3" xfId="18" applyFont="1" applyFill="1" applyBorder="1" applyAlignment="1">
      <alignment horizontal="center" vertical="center" wrapText="1"/>
    </xf>
    <xf numFmtId="0" fontId="33" fillId="0" borderId="3" xfId="18" applyFont="1" applyBorder="1" applyAlignment="1">
      <alignment horizontal="center" vertical="center" wrapText="1"/>
    </xf>
    <xf numFmtId="49" fontId="33" fillId="33" borderId="3" xfId="18" applyNumberFormat="1" applyFont="1" applyFill="1" applyBorder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49" fillId="0" borderId="21" xfId="0" applyFont="1" applyBorder="1" applyAlignment="1">
      <alignment horizontal="center" vertical="center" wrapText="1"/>
    </xf>
    <xf numFmtId="0" fontId="49" fillId="0" borderId="22" xfId="0" applyFont="1" applyBorder="1" applyAlignment="1">
      <alignment horizontal="center" vertical="center" wrapText="1"/>
    </xf>
    <xf numFmtId="0" fontId="41" fillId="30" borderId="20" xfId="0" applyFont="1" applyFill="1" applyBorder="1" applyAlignment="1">
      <alignment horizontal="center" vertical="center" wrapText="1"/>
    </xf>
    <xf numFmtId="0" fontId="41" fillId="30" borderId="21" xfId="0" applyFont="1" applyFill="1" applyBorder="1" applyAlignment="1">
      <alignment horizontal="center" vertical="center" wrapText="1"/>
    </xf>
    <xf numFmtId="0" fontId="41" fillId="30" borderId="22" xfId="0" applyFont="1" applyFill="1" applyBorder="1" applyAlignment="1">
      <alignment horizontal="center" vertical="center" wrapText="1"/>
    </xf>
    <xf numFmtId="0" fontId="44" fillId="0" borderId="29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1" fillId="0" borderId="25" xfId="0" applyFont="1" applyBorder="1" applyAlignment="1">
      <alignment horizontal="center" vertical="center" wrapText="1"/>
    </xf>
    <xf numFmtId="0" fontId="41" fillId="0" borderId="26" xfId="0" applyFont="1" applyBorder="1" applyAlignment="1">
      <alignment horizontal="center" vertical="center" wrapText="1"/>
    </xf>
    <xf numFmtId="0" fontId="41" fillId="0" borderId="24" xfId="0" applyFont="1" applyBorder="1" applyAlignment="1">
      <alignment horizontal="center" vertical="center" wrapText="1"/>
    </xf>
    <xf numFmtId="0" fontId="42" fillId="0" borderId="28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4" fontId="46" fillId="0" borderId="28" xfId="0" applyNumberFormat="1" applyFont="1" applyBorder="1" applyAlignment="1">
      <alignment horizontal="center" vertical="center" wrapText="1"/>
    </xf>
    <xf numFmtId="4" fontId="46" fillId="0" borderId="23" xfId="0" applyNumberFormat="1" applyFont="1" applyBorder="1" applyAlignment="1">
      <alignment horizontal="center" vertical="center" wrapText="1"/>
    </xf>
  </cellXfs>
  <cellStyles count="43">
    <cellStyle name="En proceso" xfId="1" xr:uid="{00000000-0005-0000-0000-000000000000}"/>
    <cellStyle name="En proceso 2" xfId="2" xr:uid="{00000000-0005-0000-0000-000001000000}"/>
    <cellStyle name="Énfasis4 2 4" xfId="3" xr:uid="{00000000-0005-0000-0000-000002000000}"/>
    <cellStyle name="Énfasis4 2 4 2" xfId="4" xr:uid="{00000000-0005-0000-0000-000003000000}"/>
    <cellStyle name="Entrada 3 5" xfId="5" xr:uid="{00000000-0005-0000-0000-000004000000}"/>
    <cellStyle name="Entrada 3 5 2" xfId="6" xr:uid="{00000000-0005-0000-0000-000005000000}"/>
    <cellStyle name="Entregadas" xfId="7" xr:uid="{00000000-0005-0000-0000-000006000000}"/>
    <cellStyle name="Entregadas 2" xfId="8" xr:uid="{00000000-0005-0000-0000-000007000000}"/>
    <cellStyle name="Euro 2" xfId="9" xr:uid="{00000000-0005-0000-0000-000008000000}"/>
    <cellStyle name="Excel Built-in Explanatory Text" xfId="10" xr:uid="{00000000-0005-0000-0000-000009000000}"/>
    <cellStyle name="Excel Built-in Explanatory Text 2" xfId="11" xr:uid="{00000000-0005-0000-0000-00000A000000}"/>
    <cellStyle name="Excel Built-in Explanatory Text 3" xfId="12" xr:uid="{00000000-0005-0000-0000-00000B000000}"/>
    <cellStyle name="Excel_BuiltIn_Texto explicativo 1" xfId="13" xr:uid="{00000000-0005-0000-0000-00000C000000}"/>
    <cellStyle name="Excel_BuiltIn_Texto explicativo 1 2" xfId="14" xr:uid="{00000000-0005-0000-0000-00000D000000}"/>
    <cellStyle name="Millares" xfId="15" builtinId="3"/>
    <cellStyle name="Millares 2" xfId="16" xr:uid="{00000000-0005-0000-0000-00000F000000}"/>
    <cellStyle name="Normal" xfId="0" builtinId="0"/>
    <cellStyle name="Normal 10" xfId="17" xr:uid="{00000000-0005-0000-0000-000011000000}"/>
    <cellStyle name="Normal 2" xfId="18" xr:uid="{00000000-0005-0000-0000-000012000000}"/>
    <cellStyle name="Normal 2 2" xfId="19" xr:uid="{00000000-0005-0000-0000-000013000000}"/>
    <cellStyle name="Normal 2 2 2" xfId="20" xr:uid="{00000000-0005-0000-0000-000014000000}"/>
    <cellStyle name="Normal 2 2 2 2" xfId="21" xr:uid="{00000000-0005-0000-0000-000015000000}"/>
    <cellStyle name="Normal 2 2 3" xfId="22" xr:uid="{00000000-0005-0000-0000-000016000000}"/>
    <cellStyle name="Normal 2 2 3 2" xfId="23" xr:uid="{00000000-0005-0000-0000-000017000000}"/>
    <cellStyle name="Normal 2 2 4" xfId="24" xr:uid="{00000000-0005-0000-0000-000018000000}"/>
    <cellStyle name="Normal 2 2 5" xfId="42" xr:uid="{00000000-0005-0000-0000-000019000000}"/>
    <cellStyle name="Normal 2 3" xfId="25" xr:uid="{00000000-0005-0000-0000-00001A000000}"/>
    <cellStyle name="Normal 3" xfId="26" xr:uid="{00000000-0005-0000-0000-00001B000000}"/>
    <cellStyle name="Normal 3 2" xfId="27" xr:uid="{00000000-0005-0000-0000-00001C000000}"/>
    <cellStyle name="Normal 4" xfId="28" xr:uid="{00000000-0005-0000-0000-00001D000000}"/>
    <cellStyle name="Normal 4 2" xfId="29" xr:uid="{00000000-0005-0000-0000-00001E000000}"/>
    <cellStyle name="Normal 5" xfId="30" xr:uid="{00000000-0005-0000-0000-00001F000000}"/>
    <cellStyle name="Normal 6" xfId="31" xr:uid="{00000000-0005-0000-0000-000020000000}"/>
    <cellStyle name="Normal 7" xfId="32" xr:uid="{00000000-0005-0000-0000-000021000000}"/>
    <cellStyle name="Normal 72" xfId="33" xr:uid="{00000000-0005-0000-0000-000022000000}"/>
    <cellStyle name="Normal 72 2" xfId="34" xr:uid="{00000000-0005-0000-0000-000023000000}"/>
    <cellStyle name="Normal 8" xfId="35" xr:uid="{00000000-0005-0000-0000-000024000000}"/>
    <cellStyle name="Normal 8 4" xfId="36" xr:uid="{00000000-0005-0000-0000-000025000000}"/>
    <cellStyle name="Normal 8 4 2" xfId="37" xr:uid="{00000000-0005-0000-0000-000026000000}"/>
    <cellStyle name="Normal 9" xfId="38" xr:uid="{00000000-0005-0000-0000-000027000000}"/>
    <cellStyle name="Objetadas" xfId="39" xr:uid="{00000000-0005-0000-0000-000028000000}"/>
    <cellStyle name="Objetadas 2" xfId="40" xr:uid="{00000000-0005-0000-0000-000029000000}"/>
    <cellStyle name="Texto explicativo 2" xfId="41" xr:uid="{00000000-0005-0000-0000-00002A000000}"/>
  </cellStyles>
  <dxfs count="172"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general" vertical="center" textRotation="0" wrapTex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1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1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1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1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1" tint="0.499984740745262"/>
        </patternFill>
      </fill>
      <alignment horizontal="general" vertical="center" textRotation="0" wrapTex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1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1" relativeIndent="0" justifyLastLine="0" shrinkToFit="0" readingOrder="0"/>
    </dxf>
    <dxf>
      <font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1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relativeIndent="0" justifyLastLine="0" shrinkToFit="0" readingOrder="0"/>
    </dxf>
    <dxf>
      <border outline="0">
        <top style="thin">
          <color indexed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relativeIndent="0" justifyLastLine="0" shrinkToFit="0" readingOrder="0"/>
      <border diagonalUp="0" diagonalDown="0"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</border>
    </dxf>
    <dxf>
      <border outline="0">
        <top style="thin">
          <color indexed="63"/>
        </top>
      </border>
    </dxf>
    <dxf>
      <border outline="0">
        <top style="medium">
          <color theme="1"/>
        </top>
        <bottom style="thin">
          <color indexed="6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relative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diagonalUp="0" diagonalDown="0">
        <left style="thin">
          <color indexed="8"/>
        </left>
        <right/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51"/>
          <bgColor indexed="50"/>
        </patternFill>
      </fill>
      <alignment horizontal="center" vertical="center" textRotation="0" wrapText="1" relative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RX%20SUBESTACIONE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POA%202024%20Mantenimiento%20SEs\ESTADO%20MATERIALES%20EQUIPOS%20INDISPONIBLES%20EN%20S-E%202025%20%2005052025Actualiz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X SUBESTACION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OS INDISPONIBLES SE"/>
      <sheetName val="MATERIAL  POR ACTIVIDAD"/>
      <sheetName val="MAT NO INCLUIDOS EN LIST"/>
      <sheetName val="LISTA"/>
      <sheetName val="FAMILIAS"/>
      <sheetName val="PRECIO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00000000}" name="Tabla171" displayName="Tabla171" ref="R1:R14" totalsRowShown="0" headerRowDxfId="171" dataDxfId="169" headerRowBorderDxfId="170" tableBorderDxfId="168" totalsRowBorderDxfId="167" headerRowCellStyle="Entrada 3 5" dataCellStyle="Entrada 3 5">
  <autoFilter ref="R1:R14" xr:uid="{00000000-0009-0000-0100-0000AB000000}"/>
  <tableColumns count="1">
    <tableColumn id="1" xr3:uid="{00000000-0010-0000-0000-000001000000}" name="TENSIONSUBESTACION" dataDxfId="166" dataCellStyle="Énfasis4 2 4 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01000000}" name="Tabla172" displayName="Tabla172" ref="T1:T15" totalsRowShown="0" headerRowDxfId="165" dataDxfId="164" tableBorderDxfId="163" headerRowCellStyle="Entrada 3 5" dataCellStyle="Entrada 3 5">
  <autoFilter ref="T1:T15" xr:uid="{00000000-0009-0000-0100-0000AC000000}"/>
  <tableColumns count="1">
    <tableColumn id="1" xr3:uid="{00000000-0010-0000-0100-000001000000}" name="TENSIONCIRCUITO" dataDxfId="162" dataCellStyle="Énfasis4 2 4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02000000}" name="Tabla173" displayName="Tabla173" ref="V1:V11" totalsRowShown="0" headerRowDxfId="161" dataDxfId="160" headerRowCellStyle="Entrada 3 5" dataCellStyle="Entrada 3 5">
  <autoFilter ref="V1:V11" xr:uid="{00000000-0009-0000-0100-0000AD000000}"/>
  <tableColumns count="1">
    <tableColumn id="1" xr3:uid="{00000000-0010-0000-0200-000001000000}" name="TIPORESTRICCIONES" dataDxfId="159" dataCellStyle="Énfasis4 2 4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6" xr:uid="{00000000-000C-0000-FFFF-FFFF03000000}" name="SERVICIOSAUXILIARES" displayName="SERVICIOSAUXILIARES" ref="Z1:Z9" totalsRowShown="0" headerRowDxfId="158" headerRowBorderDxfId="157" tableBorderDxfId="156">
  <autoFilter ref="Z1:Z9" xr:uid="{00000000-0009-0000-0100-0000FA010000}"/>
  <tableColumns count="1">
    <tableColumn id="1" xr3:uid="{00000000-0010-0000-0300-000001000000}" name="SERVICIOSAUXILIAR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7" xr:uid="{00000000-000C-0000-FFFF-FFFF04000000}" name="INTERRUPTOR" displayName="INTERRUPTOR" ref="AA1:AA10" totalsRowShown="0" headerRowDxfId="155" headerRowBorderDxfId="154" tableBorderDxfId="153">
  <autoFilter ref="AA1:AA10" xr:uid="{00000000-0009-0000-0100-0000FB010000}"/>
  <tableColumns count="1">
    <tableColumn id="1" xr3:uid="{00000000-0010-0000-0400-000001000000}" name="INTERRUPTO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8" xr:uid="{00000000-000C-0000-FFFF-FFFF05000000}" name="SEGURIDADINFRAESTRUCTURA" displayName="SEGURIDADINFRAESTRUCTURA" ref="AB1:AB10" totalsRowShown="0" headerRowDxfId="152" headerRowBorderDxfId="151" tableBorderDxfId="150">
  <autoFilter ref="AB1:AB10" xr:uid="{00000000-0009-0000-0100-0000FC010000}"/>
  <tableColumns count="1">
    <tableColumn id="1" xr3:uid="{00000000-0010-0000-0500-000001000000}" name="SEGURIDADINFRAESTRUCTUR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9" xr:uid="{00000000-000C-0000-FFFF-FFFF06000000}" name="TABLERODECONTROLYMEDICIÓN" displayName="TABLERODECONTROLYMEDICIÓN" ref="AC1:AC5" totalsRowShown="0" headerRowDxfId="149" headerRowBorderDxfId="148" tableBorderDxfId="147">
  <autoFilter ref="AC1:AC5" xr:uid="{00000000-0009-0000-0100-0000FD010000}"/>
  <tableColumns count="1">
    <tableColumn id="1" xr3:uid="{00000000-0010-0000-0600-000001000000}" name="TABLERODECONTROLYMEDICIÓ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0" xr:uid="{00000000-000C-0000-FFFF-FFFF07000000}" name="TRANSFORMADORDEPOTENCIA" displayName="TRANSFORMADORDEPOTENCIA" ref="AD1:AD9" totalsRowShown="0" headerRowDxfId="146" headerRowBorderDxfId="145" tableBorderDxfId="144">
  <autoFilter ref="AD1:AD9" xr:uid="{00000000-0009-0000-0100-0000FE010000}"/>
  <tableColumns count="1">
    <tableColumn id="1" xr3:uid="{00000000-0010-0000-0700-000001000000}" name="TRANSFORMADORDEPOTENCIA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1" xr:uid="{00000000-000C-0000-FFFF-FFFF08000000}" name="SUBESTACIONMOVIL" displayName="SUBESTACIONMOVIL" ref="AE1:AE6" totalsRowShown="0" headerRowDxfId="143" headerRowBorderDxfId="142" tableBorderDxfId="141">
  <autoFilter ref="AE1:AE6" xr:uid="{00000000-0009-0000-0100-0000FF010000}"/>
  <tableColumns count="1">
    <tableColumn id="1" xr3:uid="{00000000-0010-0000-0800-000001000000}" name="SUBESTACIONMOVIL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2" xr:uid="{00000000-000C-0000-FFFF-FFFF09000000}" name="BARRAS" displayName="BARRAS" ref="AF1:AF4" totalsRowShown="0" headerRowDxfId="140" headerRowBorderDxfId="139" tableBorderDxfId="138">
  <autoFilter ref="AF1:AF4" xr:uid="{00000000-0009-0000-0100-000000020000}"/>
  <tableColumns count="1">
    <tableColumn id="1" xr3:uid="{00000000-0010-0000-0900-000001000000}" name="BARRA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3" xr:uid="{00000000-000C-0000-FFFF-FFFF0A000000}" name="SECCIONADOR" displayName="SECCIONADOR" ref="AG1:AG7" totalsRowShown="0" headerRowDxfId="137" headerRowBorderDxfId="136" tableBorderDxfId="135">
  <autoFilter ref="AG1:AG7" xr:uid="{00000000-0009-0000-0100-000001020000}"/>
  <tableColumns count="1">
    <tableColumn id="1" xr3:uid="{00000000-0010-0000-0A00-000001000000}" name="SECCIONADOR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4" xr:uid="{00000000-000C-0000-FFFF-FFFF0B000000}" name="PARARRAYO" displayName="PARARRAYO" ref="AH1:AH6" totalsRowShown="0" headerRowDxfId="134" headerRowBorderDxfId="133" tableBorderDxfId="132">
  <autoFilter ref="AH1:AH6" xr:uid="{00000000-0009-0000-0100-000002020000}"/>
  <tableColumns count="1">
    <tableColumn id="1" xr3:uid="{00000000-0010-0000-0B00-000001000000}" name="PARARRAYO" dataDxfId="131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5" xr:uid="{00000000-000C-0000-FFFF-FFFF0C000000}" name="ESTRUCTURASDESOPORTE" displayName="ESTRUCTURASDESOPORTE" ref="AI1:AI2" totalsRowShown="0" headerRowDxfId="130" headerRowBorderDxfId="129" tableBorderDxfId="128">
  <autoFilter ref="AI1:AI2" xr:uid="{00000000-0009-0000-0100-000003020000}"/>
  <tableColumns count="1">
    <tableColumn id="1" xr3:uid="{00000000-0010-0000-0C00-000001000000}" name="ESTRUCTURASDESOPORT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6" xr:uid="{00000000-000C-0000-FFFF-FFFF0D000000}" name="TRANSFORMADORESDEMEDICION" displayName="TRANSFORMADORESDEMEDICION" ref="AJ1:AJ4" totalsRowShown="0" headerRowDxfId="127" headerRowBorderDxfId="126" tableBorderDxfId="125">
  <autoFilter ref="AJ1:AJ4" xr:uid="{00000000-0009-0000-0100-000004020000}"/>
  <tableColumns count="1">
    <tableColumn id="1" xr3:uid="{00000000-0010-0000-0D00-000001000000}" name="TRANSFORMADORESDEMEDICION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7" xr:uid="{00000000-000C-0000-FFFF-FFFF0E000000}" name="BANCODECAPACITORES" displayName="BANCODECAPACITORES" ref="AK1:AK3" totalsRowShown="0" headerRowDxfId="124" headerRowBorderDxfId="123" tableBorderDxfId="122">
  <autoFilter ref="AK1:AK3" xr:uid="{00000000-0009-0000-0100-000005020000}"/>
  <tableColumns count="1">
    <tableColumn id="1" xr3:uid="{00000000-0010-0000-0E00-000001000000}" name="BANCODECAPACITORE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8" xr:uid="{00000000-000C-0000-FFFF-FFFF0F000000}" name="BOBINAS" displayName="BOBINAS" ref="AL1:AL2" totalsRowShown="0" headerRowDxfId="121" headerRowBorderDxfId="120" tableBorderDxfId="119">
  <autoFilter ref="AL1:AL2" xr:uid="{00000000-0009-0000-0100-000006020000}"/>
  <tableColumns count="1">
    <tableColumn id="1" xr3:uid="{00000000-0010-0000-0F00-000001000000}" name="BOBINA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9" xr:uid="{00000000-000C-0000-FFFF-FFFF10000000}" name="SISTEMADEPUESTAATIERRA" displayName="SISTEMADEPUESTAATIERRA" ref="AM1:AM6" totalsRowShown="0" headerRowDxfId="118" headerRowBorderDxfId="117" tableBorderDxfId="116">
  <autoFilter ref="AM1:AM6" xr:uid="{00000000-0009-0000-0100-000007020000}"/>
  <tableColumns count="1">
    <tableColumn id="1" xr3:uid="{00000000-0010-0000-1000-000001000000}" name="SISTEMADEPUESTAATIERR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0" xr:uid="{00000000-000C-0000-FFFF-FFFF11000000}" name="REGULADOR" displayName="REGULADOR" ref="AN1:AN2" totalsRowShown="0" headerRowDxfId="115" headerRowBorderDxfId="114" tableBorderDxfId="113">
  <autoFilter ref="AN1:AN2" xr:uid="{00000000-0009-0000-0100-000008020000}"/>
  <tableColumns count="1">
    <tableColumn id="1" xr3:uid="{00000000-0010-0000-1100-000001000000}" name="REGULADOR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1" xr:uid="{00000000-000C-0000-FFFF-FFFF12000000}" name="RECONECTADOR" displayName="RECONECTADOR" ref="AO1:AO9" totalsRowShown="0" headerRowDxfId="112" headerRowBorderDxfId="111" tableBorderDxfId="110">
  <autoFilter ref="AO1:AO9" xr:uid="{00000000-0009-0000-0100-000009020000}"/>
  <tableColumns count="1">
    <tableColumn id="1" xr3:uid="{00000000-0010-0000-1200-000001000000}" name="RECONECTADOR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2" xr:uid="{00000000-000C-0000-FFFF-FFFF13000000}" name="CORTACORRIENTE" displayName="CORTACORRIENTE" ref="AP1:AP5" totalsRowShown="0" headerRowDxfId="109" dataDxfId="107" headerRowBorderDxfId="108" tableBorderDxfId="106" totalsRowBorderDxfId="105" dataCellStyle="Normal 8">
  <autoFilter ref="AP1:AP5" xr:uid="{00000000-0009-0000-0100-00000A020000}"/>
  <tableColumns count="1">
    <tableColumn id="1" xr3:uid="{00000000-0010-0000-1300-000001000000}" name="CORTACORRIENTE" dataDxfId="104" dataCellStyle="Normal 6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3" xr:uid="{00000000-000C-0000-FFFF-FFFF14000000}" name="REACTOR" displayName="REACTOR" ref="AQ1:AQ2" totalsRowShown="0" headerRowDxfId="103" headerRowBorderDxfId="102" tableBorderDxfId="101">
  <autoFilter ref="AQ1:AQ2" xr:uid="{00000000-0009-0000-0100-00000B020000}"/>
  <tableColumns count="1">
    <tableColumn id="1" xr3:uid="{00000000-0010-0000-1400-000001000000}" name="REACTOR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4" xr:uid="{00000000-000C-0000-FFFF-FFFF15000000}" name="AISLADORESSOPORTE" displayName="AISLADORESSOPORTE" ref="AR1:AU4" totalsRowShown="0" headerRowDxfId="100" headerRowBorderDxfId="99" tableBorderDxfId="98">
  <autoFilter ref="AR1:AU4" xr:uid="{00000000-0009-0000-0100-00000C020000}"/>
  <tableColumns count="4">
    <tableColumn id="1" xr3:uid="{00000000-0010-0000-1500-000001000000}" name="AISLADORESSOPORTE"/>
    <tableColumn id="2" xr3:uid="{00000000-0010-0000-1500-000002000000}" name="CONDUCTOR"/>
    <tableColumn id="3" xr3:uid="{00000000-0010-0000-1500-000003000000}" name="CONECTOR"/>
    <tableColumn id="4" xr3:uid="{00000000-0010-0000-1500-000004000000}" name="HERRAJ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5" xr:uid="{00000000-000C-0000-FFFF-FFFF16000000}" name="MANTENIMIENTOPREVENTIVO" displayName="MANTENIMIENTOPREVENTIVO" ref="AV1:AV12" totalsRowShown="0" headerRowDxfId="97" headerRowBorderDxfId="96" tableBorderDxfId="95">
  <autoFilter ref="AV1:AV12" xr:uid="{00000000-0009-0000-0100-00000D020000}"/>
  <tableColumns count="1">
    <tableColumn id="1" xr3:uid="{00000000-0010-0000-1600-000001000000}" name="MANTENIMIENTOPREVENTIVO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8" xr:uid="{00000000-000C-0000-FFFF-FFFF17000000}" name="CAPITAL" displayName="CAPITAL" ref="E1:E4" totalsRowShown="0" headerRowDxfId="94" tableBorderDxfId="93">
  <autoFilter ref="E1:E4" xr:uid="{00000000-0009-0000-0100-000092020000}"/>
  <tableColumns count="1">
    <tableColumn id="1" xr3:uid="{00000000-0010-0000-1700-000001000000}" name="CAPITAL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9" xr:uid="{00000000-000C-0000-FFFF-FFFF18000000}" name="GUAYANA" displayName="GUAYANA" ref="F1:F4" totalsRowShown="0" headerRowDxfId="92">
  <autoFilter ref="F1:F4" xr:uid="{00000000-0009-0000-0100-000093020000}"/>
  <tableColumns count="1">
    <tableColumn id="1" xr3:uid="{00000000-0010-0000-1800-000001000000}" name="GUAYAN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0" xr:uid="{00000000-000C-0000-FFFF-FFFF19000000}" name="LOS_ANDES" displayName="LOS_ANDES" ref="G1:G4" totalsRowShown="0" headerRowDxfId="91">
  <autoFilter ref="G1:G4" xr:uid="{00000000-0009-0000-0100-000094020000}"/>
  <tableColumns count="1">
    <tableColumn id="1" xr3:uid="{00000000-0010-0000-1900-000001000000}" name="LOS_ANDE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1" xr:uid="{00000000-000C-0000-FFFF-FFFF1A000000}" name="ORIENTAL" displayName="ORIENTAL" ref="H1:H4" totalsRowShown="0" headerRowDxfId="90">
  <autoFilter ref="H1:H4" xr:uid="{00000000-0009-0000-0100-000095020000}"/>
  <tableColumns count="1">
    <tableColumn id="1" xr3:uid="{00000000-0010-0000-1A00-000001000000}" name="ORIENTAL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2" xr:uid="{00000000-000C-0000-FFFF-FFFF1B000000}" name="LOS_LLANOS" displayName="LOS_LLANOS" ref="I1:I6" totalsRowShown="0" headerRowDxfId="89">
  <autoFilter ref="I1:I6" xr:uid="{00000000-0009-0000-0100-000096020000}"/>
  <tableColumns count="1">
    <tableColumn id="1" xr3:uid="{00000000-0010-0000-1B00-000001000000}" name="LOS_LLANO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3" xr:uid="{00000000-000C-0000-FFFF-FFFF1C000000}" name="CENTRAL" displayName="CENTRAL" ref="J1:J4" totalsRowShown="0" headerRowDxfId="88">
  <autoFilter ref="J1:J4" xr:uid="{00000000-0009-0000-0100-000097020000}"/>
  <tableColumns count="1">
    <tableColumn id="1" xr3:uid="{00000000-0010-0000-1C00-000001000000}" name="CENTRAL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4" xr:uid="{00000000-000C-0000-FFFF-FFFF1D000000}" name="INSULAR" displayName="INSULAR" ref="K1:K2" totalsRowShown="0" headerRowDxfId="87">
  <autoFilter ref="K1:K2" xr:uid="{00000000-0009-0000-0100-000098020000}"/>
  <tableColumns count="1">
    <tableColumn id="1" xr3:uid="{00000000-0010-0000-1D00-000001000000}" name="INSULAR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5" xr:uid="{00000000-000C-0000-FFFF-FFFF1E000000}" name="OCCIDENTAL" displayName="OCCIDENTAL" ref="L1:L4" totalsRowShown="0" headerRowDxfId="86">
  <autoFilter ref="L1:L4" xr:uid="{00000000-0009-0000-0100-000099020000}"/>
  <tableColumns count="1">
    <tableColumn id="1" xr3:uid="{00000000-0010-0000-1E00-000001000000}" name="OCCIDENTAL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9" xr:uid="{00000000-000C-0000-FFFF-FFFF1F000000}" name="AISLADORES_Y_COPAS" displayName="AISLADORES_Y_COPAS" ref="A1:B55" totalsRowShown="0" headerRowDxfId="85" dataDxfId="84" tableBorderDxfId="83">
  <autoFilter ref="A1:B55" xr:uid="{00000000-0009-0000-0100-0000CB010000}"/>
  <tableColumns count="2">
    <tableColumn id="1" xr3:uid="{00000000-0010-0000-1F00-000001000000}" name="AISLADORES_Y_COPAS" dataDxfId="82"/>
    <tableColumn id="2" xr3:uid="{00000000-0010-0000-1F00-000002000000}" name="ACEITEDIELECTRICO" dataDxfId="81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0" xr:uid="{00000000-000C-0000-FFFF-FFFF20000000}" name="CABLES_Y_CONDUCTORES" displayName="CABLES_Y_CONDUCTORES" ref="D1:D79" totalsRowShown="0" headerRowDxfId="80" dataDxfId="79" tableBorderDxfId="78">
  <autoFilter ref="D1:D79" xr:uid="{00000000-0009-0000-0100-0000CC010000}"/>
  <tableColumns count="1">
    <tableColumn id="1" xr3:uid="{00000000-0010-0000-2000-000001000000}" name="CABLES_Y_CONDUCTORES" dataDxfId="77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1" xr:uid="{00000000-000C-0000-FFFF-FFFF21000000}" name="CONECTORES" displayName="CONECTORES" ref="E1:E125" totalsRowShown="0" headerRowDxfId="76" dataDxfId="75" tableBorderDxfId="74">
  <autoFilter ref="E1:E125" xr:uid="{00000000-0009-0000-0100-0000CD010000}"/>
  <tableColumns count="1">
    <tableColumn id="1" xr3:uid="{00000000-0010-0000-2100-000001000000}" name="CONECTORES" dataDxfId="73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2" xr:uid="{00000000-000C-0000-FFFF-FFFF22000000}" name="CORTACORRIENTES" displayName="CORTACORRIENTES" ref="F1:F8" totalsRowShown="0" headerRowDxfId="72" dataDxfId="71" tableBorderDxfId="70">
  <autoFilter ref="F1:F8" xr:uid="{00000000-0009-0000-0100-0000CE010000}"/>
  <tableColumns count="1">
    <tableColumn id="1" xr3:uid="{00000000-0010-0000-2200-000001000000}" name="CORTACORRIENTES " dataDxfId="69"/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3" xr:uid="{00000000-000C-0000-FFFF-FFFF23000000}" name="FUSIBLES" displayName="FUSIBLES" ref="G1:G50" totalsRowShown="0" headerRowDxfId="68" dataDxfId="67" tableBorderDxfId="66">
  <autoFilter ref="G1:G50" xr:uid="{00000000-0009-0000-0100-0000CF010000}"/>
  <tableColumns count="1">
    <tableColumn id="1" xr3:uid="{00000000-0010-0000-2300-000001000000}" name="FUSIBLES " dataDxfId="65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4" xr:uid="{00000000-000C-0000-FFFF-FFFF24000000}" name="HERRAJES" displayName="HERRAJES" ref="H1:H194" totalsRowShown="0" headerRowDxfId="64" dataDxfId="63" tableBorderDxfId="62">
  <autoFilter ref="H1:H194" xr:uid="{00000000-0009-0000-0100-0000D0010000}"/>
  <tableColumns count="1">
    <tableColumn id="1" xr3:uid="{00000000-0010-0000-2400-000001000000}" name="HERRAJES " dataDxfId="61"/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5" xr:uid="{00000000-000C-0000-FFFF-FFFF25000000}" name="INTERRUPTORES" displayName="INTERRUPTORES" ref="I1:I26" totalsRowShown="0" headerRowDxfId="60" dataDxfId="59" tableBorderDxfId="58">
  <autoFilter ref="I1:I26" xr:uid="{00000000-0009-0000-0100-0000D1010000}"/>
  <tableColumns count="1">
    <tableColumn id="1" xr3:uid="{00000000-0010-0000-2500-000001000000}" name="INTERRUPTORES " dataDxfId="57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6" xr:uid="{00000000-000C-0000-FFFF-FFFF26000000}" name="PARARRAYOS" displayName="PARARRAYOS" ref="J1:J10" totalsRowShown="0" headerRowDxfId="56" dataDxfId="55" tableBorderDxfId="54">
  <autoFilter ref="J1:J10" xr:uid="{00000000-0009-0000-0100-0000D2010000}"/>
  <tableColumns count="1">
    <tableColumn id="1" xr3:uid="{00000000-0010-0000-2600-000001000000}" name="PARARRAYOS" dataDxfId="53"/>
  </tableColumns>
  <tableStyleInfo name="TableStyleMedium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7" xr:uid="{00000000-000C-0000-FFFF-FFFF27000000}" name="POSTES" displayName="POSTES" ref="K1:K32" totalsRowShown="0" headerRowDxfId="52" dataDxfId="51" tableBorderDxfId="50">
  <autoFilter ref="K1:K32" xr:uid="{00000000-0009-0000-0100-0000D3010000}"/>
  <tableColumns count="1">
    <tableColumn id="1" xr3:uid="{00000000-0010-0000-2700-000001000000}" name="POSTES" dataDxfId="49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8" xr:uid="{00000000-000C-0000-FFFF-FFFF28000000}" name="RECONECTADORES" displayName="RECONECTADORES" ref="L1:L11" totalsRowShown="0" headerRowDxfId="48" dataDxfId="47" tableBorderDxfId="46">
  <autoFilter ref="L1:L11" xr:uid="{00000000-0009-0000-0100-0000D4010000}"/>
  <tableColumns count="1">
    <tableColumn id="1" xr3:uid="{00000000-0010-0000-2800-000001000000}" name="RECONECTADORES " dataDxfId="45"/>
  </tableColumns>
  <tableStyleInfo name="TableStyleMedium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9" xr:uid="{00000000-000C-0000-FFFF-FFFF29000000}" name="REGULADORES" displayName="REGULADORES" ref="M1:M31" totalsRowShown="0" headerRowDxfId="44" dataDxfId="43" tableBorderDxfId="42">
  <autoFilter ref="M1:M31" xr:uid="{00000000-0009-0000-0100-0000D5010000}"/>
  <tableColumns count="1">
    <tableColumn id="1" xr3:uid="{00000000-0010-0000-2900-000001000000}" name="REGULADORES " dataDxfId="41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0" xr:uid="{00000000-000C-0000-FFFF-FFFF2A000000}" name="SECCIONADORES" displayName="SECCIONADORES" ref="N1:N15" totalsRowShown="0" headerRowDxfId="40" dataDxfId="39" tableBorderDxfId="38">
  <autoFilter ref="N1:N15" xr:uid="{00000000-0009-0000-0100-0000D6010000}"/>
  <tableColumns count="1">
    <tableColumn id="1" xr3:uid="{00000000-0010-0000-2A00-000001000000}" name="SECCIONADORES" dataDxfId="37"/>
  </tableColumns>
  <tableStyleInfo name="TableStyleMedium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1" xr:uid="{00000000-000C-0000-FFFF-FFFF2B000000}" name="TEIPES_CINTAS_Y_OTROS_AISLANTES" displayName="TEIPES_CINTAS_Y_OTROS_AISLANTES" ref="O1:O23" totalsRowShown="0" headerRowDxfId="36" dataDxfId="35" tableBorderDxfId="34">
  <autoFilter ref="O1:O23" xr:uid="{00000000-0009-0000-0100-0000D7010000}"/>
  <tableColumns count="1">
    <tableColumn id="1" xr3:uid="{00000000-0010-0000-2B00-000001000000}" name="TEIPES_CINTAS_Y_OTROS_AISLANTES " dataDxfId="33"/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2" xr:uid="{00000000-000C-0000-FFFF-FFFF2C000000}" name="TRANSFORMADORES" displayName="TRANSFORMADORES" ref="P1:P54" totalsRowShown="0" headerRowDxfId="32" dataDxfId="31" tableBorderDxfId="30">
  <autoFilter ref="P1:P54" xr:uid="{00000000-0009-0000-0100-0000D8010000}"/>
  <tableColumns count="1">
    <tableColumn id="1" xr3:uid="{00000000-0010-0000-2C00-000001000000}" name="TRANSFORMADORES" dataDxfId="29"/>
  </tableColumns>
  <tableStyleInfo name="TableStyleMedium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3" xr:uid="{00000000-000C-0000-FFFF-FFFF2D000000}" name="MATERIALES_ALUMBRADO_PUBLICO" displayName="MATERIALES_ALUMBRADO_PUBLICO" ref="C1:C42" totalsRowShown="0" dataDxfId="28">
  <autoFilter ref="C1:C42" xr:uid="{00000000-0009-0000-0100-0000D9010000}"/>
  <tableColumns count="1">
    <tableColumn id="1" xr3:uid="{00000000-0010-0000-2D00-000001000000}" name="MATERIALES_ALUMBRADO_PUBLICO" dataDxfId="27"/>
  </tableColumns>
  <tableStyleInfo name="TableStyleMedium9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4" xr:uid="{00000000-000C-0000-FFFF-FFFF2E000000}" name="EQUIPOSDESUBESTACIONES" displayName="EQUIPOSDESUBESTACIONES" ref="R1:R17" totalsRowShown="0" headerRowDxfId="26" dataDxfId="25" tableBorderDxfId="24">
  <autoFilter ref="R1:R17" xr:uid="{00000000-0009-0000-0100-0000DA010000}"/>
  <tableColumns count="1">
    <tableColumn id="1" xr3:uid="{00000000-0010-0000-2E00-000001000000}" name="EQUIPOSDESUBESTACIONES " dataDxfId="23"/>
  </tableColumns>
  <tableStyleInfo name="TableStyleMedium9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5" xr:uid="{00000000-000C-0000-FFFF-FFFF2F000000}" name="TRANSFORMADORES_DE_MEDIDA" displayName="TRANSFORMADORES_DE_MEDIDA" ref="T1:T3" totalsRowShown="0" headerRowDxfId="22" dataDxfId="21">
  <autoFilter ref="T1:T3" xr:uid="{00000000-0009-0000-0100-0000DB010000}"/>
  <tableColumns count="1">
    <tableColumn id="1" xr3:uid="{00000000-0010-0000-2F00-000001000000}" name="TRANSFORMADORES_DE_MEDIDA" dataDxfId="20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6" xr:uid="{00000000-000C-0000-FFFF-FFFF30000000}" name="MATERIALES_VARIOS" displayName="MATERIALES_VARIOS" ref="U1:U27" totalsRowShown="0" headerRowDxfId="19" dataDxfId="18">
  <autoFilter ref="U1:U27" xr:uid="{00000000-0009-0000-0100-0000DC010000}"/>
  <tableColumns count="1">
    <tableColumn id="1" xr3:uid="{00000000-0010-0000-3000-000001000000}" name="MATERIALES_VARIOS" dataDxfId="17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7" xr:uid="{00000000-000C-0000-FFFF-FFFF31000000}" name="RECTIFICADORES" displayName="RECTIFICADORES" ref="V1:V5" totalsRowShown="0" headerRowDxfId="16" dataDxfId="15">
  <autoFilter ref="V1:V5" xr:uid="{00000000-0009-0000-0100-0000DD010000}"/>
  <tableColumns count="1">
    <tableColumn id="1" xr3:uid="{00000000-0010-0000-3100-000001000000}" name="RECTIFICADORES" dataDxfId="14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8" xr:uid="{00000000-000C-0000-FFFF-FFFF32000000}" name="BANCO_DE_BATERIAS" displayName="BANCO_DE_BATERIAS" ref="W1:W13" totalsRowShown="0" headerRowDxfId="13" dataDxfId="12">
  <autoFilter ref="W1:W13" xr:uid="{00000000-0009-0000-0100-0000DE010000}"/>
  <tableColumns count="1">
    <tableColumn id="1" xr3:uid="{00000000-0010-0000-3200-000001000000}" name="BANCO_DE_BATERIAS" dataDxfId="11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9" xr:uid="{00000000-000C-0000-FFFF-FFFF33000000}" name="NO_REQUIERE_MATERIAL" displayName="NO_REQUIERE_MATERIAL" ref="X1:X2" totalsRowShown="0" headerRowDxfId="10" dataDxfId="9">
  <autoFilter ref="X1:X2" xr:uid="{00000000-0009-0000-0100-0000DF010000}"/>
  <tableColumns count="1">
    <tableColumn id="1" xr3:uid="{00000000-0010-0000-3300-000001000000}" name="NO_REQUIERE_MATERIAL" dataDxfId="8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34000000}" name="EQUIPOSDESUBESTACIONES2" displayName="EQUIPOSDESUBESTACIONES2" ref="Q1:Q19" totalsRowShown="0" headerRowDxfId="7" dataDxfId="6" tableBorderDxfId="5">
  <autoFilter ref="Q1:Q19" xr:uid="{00000000-0009-0000-0100-000001000000}"/>
  <tableColumns count="1">
    <tableColumn id="1" xr3:uid="{00000000-0010-0000-3400-000001000000}" name="TRANSFORMADORESDEPOTENCIA" dataDxfId="4"/>
  </tableColumns>
  <tableStyleInfo name="TableStyleMedium9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35000000}" name="EQUIPOSDESUBESTACIONES3" displayName="EQUIPOSDESUBESTACIONES3" ref="S1:S10" totalsRowShown="0" headerRowDxfId="3" dataDxfId="2" tableBorderDxfId="1">
  <autoFilter ref="S1:S10" xr:uid="{00000000-0009-0000-0100-000002000000}"/>
  <tableColumns count="1">
    <tableColumn id="1" xr3:uid="{00000000-0010-0000-3500-000001000000}" name="BANCODECONDESADOR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29" Type="http://schemas.openxmlformats.org/officeDocument/2006/relationships/table" Target="../tables/table2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32" Type="http://schemas.openxmlformats.org/officeDocument/2006/relationships/table" Target="../tables/table31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31" Type="http://schemas.openxmlformats.org/officeDocument/2006/relationships/table" Target="../tables/table30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9.xml"/><Relationship Id="rId13" Type="http://schemas.openxmlformats.org/officeDocument/2006/relationships/table" Target="../tables/table44.xml"/><Relationship Id="rId18" Type="http://schemas.openxmlformats.org/officeDocument/2006/relationships/table" Target="../tables/table49.xml"/><Relationship Id="rId3" Type="http://schemas.openxmlformats.org/officeDocument/2006/relationships/table" Target="../tables/table34.xml"/><Relationship Id="rId21" Type="http://schemas.openxmlformats.org/officeDocument/2006/relationships/table" Target="../tables/table52.xml"/><Relationship Id="rId7" Type="http://schemas.openxmlformats.org/officeDocument/2006/relationships/table" Target="../tables/table38.xml"/><Relationship Id="rId12" Type="http://schemas.openxmlformats.org/officeDocument/2006/relationships/table" Target="../tables/table43.xml"/><Relationship Id="rId17" Type="http://schemas.openxmlformats.org/officeDocument/2006/relationships/table" Target="../tables/table48.xml"/><Relationship Id="rId2" Type="http://schemas.openxmlformats.org/officeDocument/2006/relationships/table" Target="../tables/table33.xml"/><Relationship Id="rId16" Type="http://schemas.openxmlformats.org/officeDocument/2006/relationships/table" Target="../tables/table47.xml"/><Relationship Id="rId20" Type="http://schemas.openxmlformats.org/officeDocument/2006/relationships/table" Target="../tables/table51.xml"/><Relationship Id="rId1" Type="http://schemas.openxmlformats.org/officeDocument/2006/relationships/table" Target="../tables/table32.xml"/><Relationship Id="rId6" Type="http://schemas.openxmlformats.org/officeDocument/2006/relationships/table" Target="../tables/table37.xml"/><Relationship Id="rId11" Type="http://schemas.openxmlformats.org/officeDocument/2006/relationships/table" Target="../tables/table42.xml"/><Relationship Id="rId5" Type="http://schemas.openxmlformats.org/officeDocument/2006/relationships/table" Target="../tables/table36.xml"/><Relationship Id="rId15" Type="http://schemas.openxmlformats.org/officeDocument/2006/relationships/table" Target="../tables/table46.xml"/><Relationship Id="rId23" Type="http://schemas.openxmlformats.org/officeDocument/2006/relationships/table" Target="../tables/table54.xml"/><Relationship Id="rId10" Type="http://schemas.openxmlformats.org/officeDocument/2006/relationships/table" Target="../tables/table41.xml"/><Relationship Id="rId19" Type="http://schemas.openxmlformats.org/officeDocument/2006/relationships/table" Target="../tables/table50.xml"/><Relationship Id="rId4" Type="http://schemas.openxmlformats.org/officeDocument/2006/relationships/table" Target="../tables/table35.xml"/><Relationship Id="rId9" Type="http://schemas.openxmlformats.org/officeDocument/2006/relationships/table" Target="../tables/table40.xml"/><Relationship Id="rId14" Type="http://schemas.openxmlformats.org/officeDocument/2006/relationships/table" Target="../tables/table45.xml"/><Relationship Id="rId22" Type="http://schemas.openxmlformats.org/officeDocument/2006/relationships/table" Target="../tables/table5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indexed="9"/>
  </sheetPr>
  <dimension ref="A1:P54"/>
  <sheetViews>
    <sheetView showGridLines="0" tabSelected="1" topLeftCell="D1" zoomScale="71" zoomScaleNormal="71" workbookViewId="0">
      <pane ySplit="1" topLeftCell="A3" activePane="bottomLeft" state="frozen"/>
      <selection pane="bottomLeft" activeCell="F1" sqref="F1"/>
    </sheetView>
  </sheetViews>
  <sheetFormatPr baseColWidth="10" defaultColWidth="11.44140625" defaultRowHeight="20.399999999999999"/>
  <cols>
    <col min="1" max="1" width="18.88671875" style="125" customWidth="1"/>
    <col min="2" max="2" width="19.6640625" style="125" bestFit="1" customWidth="1"/>
    <col min="3" max="3" width="18.5546875" style="125" bestFit="1" customWidth="1"/>
    <col min="4" max="4" width="28.33203125" style="125" customWidth="1"/>
    <col min="5" max="5" width="16.6640625" style="125" customWidth="1"/>
    <col min="6" max="6" width="41" style="125" customWidth="1"/>
    <col min="7" max="7" width="48.33203125" style="125" customWidth="1"/>
    <col min="8" max="8" width="69.44140625" style="125" customWidth="1"/>
    <col min="9" max="9" width="79.88671875" style="126" customWidth="1"/>
    <col min="10" max="10" width="40.6640625" style="126" customWidth="1"/>
    <col min="11" max="11" width="35.109375" style="116" customWidth="1"/>
    <col min="12" max="13" width="21.5546875" style="1" customWidth="1"/>
    <col min="14" max="14" width="27.44140625" style="1" customWidth="1"/>
    <col min="15" max="15" width="25.44140625" style="1" customWidth="1"/>
    <col min="16" max="16384" width="11.44140625" style="1"/>
  </cols>
  <sheetData>
    <row r="1" spans="1:16" ht="72.75" customHeight="1">
      <c r="A1" s="122" t="s">
        <v>1327</v>
      </c>
      <c r="B1" s="111" t="s">
        <v>698</v>
      </c>
      <c r="C1" s="111" t="s">
        <v>0</v>
      </c>
      <c r="D1" s="111" t="s">
        <v>501</v>
      </c>
      <c r="E1" s="111" t="s">
        <v>513</v>
      </c>
      <c r="F1" s="111" t="s">
        <v>514</v>
      </c>
      <c r="G1" s="111" t="s">
        <v>515</v>
      </c>
      <c r="H1" s="111" t="s">
        <v>979</v>
      </c>
      <c r="I1" s="111" t="s">
        <v>1319</v>
      </c>
      <c r="J1" s="111" t="s">
        <v>710</v>
      </c>
      <c r="K1" s="111" t="s">
        <v>706</v>
      </c>
      <c r="L1" s="121" t="s">
        <v>709</v>
      </c>
      <c r="M1" s="121" t="s">
        <v>5</v>
      </c>
      <c r="N1" s="121" t="s">
        <v>1326</v>
      </c>
      <c r="O1" s="121" t="s">
        <v>1325</v>
      </c>
    </row>
    <row r="2" spans="1:16" s="124" customFormat="1" ht="50.1" customHeight="1">
      <c r="A2" s="112">
        <v>1</v>
      </c>
      <c r="B2" s="113" t="s">
        <v>701</v>
      </c>
      <c r="C2" s="114" t="s">
        <v>54</v>
      </c>
      <c r="D2" s="114" t="s">
        <v>1091</v>
      </c>
      <c r="E2" s="114">
        <v>34.5</v>
      </c>
      <c r="F2" s="114" t="s">
        <v>627</v>
      </c>
      <c r="G2" s="115" t="s">
        <v>139</v>
      </c>
      <c r="H2" s="114" t="s">
        <v>1330</v>
      </c>
      <c r="I2" s="140" t="s">
        <v>1331</v>
      </c>
      <c r="J2" s="114">
        <v>0</v>
      </c>
      <c r="K2" s="143" t="s">
        <v>708</v>
      </c>
      <c r="L2" s="120" t="s">
        <v>1332</v>
      </c>
      <c r="M2" s="84" t="s">
        <v>140</v>
      </c>
      <c r="N2" s="84">
        <v>15</v>
      </c>
      <c r="O2" s="129">
        <v>45694</v>
      </c>
    </row>
    <row r="3" spans="1:16" s="124" customFormat="1" ht="50.1" customHeight="1">
      <c r="A3" s="112">
        <v>2</v>
      </c>
      <c r="B3" s="113" t="s">
        <v>701</v>
      </c>
      <c r="C3" s="114" t="s">
        <v>54</v>
      </c>
      <c r="D3" s="114" t="s">
        <v>1091</v>
      </c>
      <c r="E3" s="114">
        <v>34.5</v>
      </c>
      <c r="F3" s="114" t="s">
        <v>673</v>
      </c>
      <c r="G3" s="115" t="s">
        <v>680</v>
      </c>
      <c r="H3" s="114" t="s">
        <v>1092</v>
      </c>
      <c r="I3" s="140" t="s">
        <v>1093</v>
      </c>
      <c r="J3" s="114" t="s">
        <v>1032</v>
      </c>
      <c r="K3" s="143" t="s">
        <v>707</v>
      </c>
      <c r="L3" s="120" t="s">
        <v>1332</v>
      </c>
      <c r="M3" s="84" t="s">
        <v>68</v>
      </c>
      <c r="N3" s="84">
        <v>1</v>
      </c>
      <c r="O3" s="129" t="s">
        <v>1338</v>
      </c>
    </row>
    <row r="4" spans="1:16" s="124" customFormat="1" ht="50.1" customHeight="1">
      <c r="A4" s="112">
        <v>3</v>
      </c>
      <c r="B4" s="113" t="s">
        <v>701</v>
      </c>
      <c r="C4" s="114" t="s">
        <v>54</v>
      </c>
      <c r="D4" s="114" t="s">
        <v>1091</v>
      </c>
      <c r="E4" s="114">
        <v>34.5</v>
      </c>
      <c r="F4" s="114" t="s">
        <v>697</v>
      </c>
      <c r="G4" s="115" t="s">
        <v>1041</v>
      </c>
      <c r="H4" s="114" t="s">
        <v>1094</v>
      </c>
      <c r="I4" s="140" t="s">
        <v>1095</v>
      </c>
      <c r="J4" s="114" t="s">
        <v>1034</v>
      </c>
      <c r="K4" s="143" t="s">
        <v>707</v>
      </c>
      <c r="L4" s="120" t="s">
        <v>1332</v>
      </c>
      <c r="M4" s="84" t="s">
        <v>68</v>
      </c>
      <c r="N4" s="84">
        <v>1</v>
      </c>
      <c r="O4" s="129" t="s">
        <v>1338</v>
      </c>
      <c r="P4" s="139"/>
    </row>
    <row r="5" spans="1:16" s="124" customFormat="1" ht="50.1" customHeight="1">
      <c r="A5" s="112">
        <v>4</v>
      </c>
      <c r="B5" s="113" t="s">
        <v>701</v>
      </c>
      <c r="C5" s="114" t="s">
        <v>54</v>
      </c>
      <c r="D5" s="114" t="s">
        <v>1096</v>
      </c>
      <c r="E5" s="114">
        <v>34.5</v>
      </c>
      <c r="F5" s="114" t="s">
        <v>697</v>
      </c>
      <c r="G5" s="115" t="s">
        <v>1041</v>
      </c>
      <c r="H5" s="114" t="s">
        <v>1094</v>
      </c>
      <c r="I5" s="140" t="s">
        <v>1097</v>
      </c>
      <c r="J5" s="114" t="s">
        <v>1037</v>
      </c>
      <c r="K5" s="143" t="s">
        <v>708</v>
      </c>
      <c r="L5" s="120" t="s">
        <v>1332</v>
      </c>
      <c r="M5" s="84" t="s">
        <v>68</v>
      </c>
      <c r="N5" s="84">
        <v>1</v>
      </c>
      <c r="O5" s="129" t="s">
        <v>1338</v>
      </c>
    </row>
    <row r="6" spans="1:16" s="124" customFormat="1" ht="50.1" customHeight="1">
      <c r="A6" s="112">
        <v>5</v>
      </c>
      <c r="B6" s="113" t="s">
        <v>701</v>
      </c>
      <c r="C6" s="114" t="s">
        <v>54</v>
      </c>
      <c r="D6" s="114" t="s">
        <v>1098</v>
      </c>
      <c r="E6" s="114">
        <v>34.5</v>
      </c>
      <c r="F6" s="114" t="s">
        <v>697</v>
      </c>
      <c r="G6" s="115" t="s">
        <v>1041</v>
      </c>
      <c r="H6" s="114" t="s">
        <v>1099</v>
      </c>
      <c r="I6" s="140" t="s">
        <v>1100</v>
      </c>
      <c r="J6" s="114" t="s">
        <v>1034</v>
      </c>
      <c r="K6" s="143" t="s">
        <v>707</v>
      </c>
      <c r="L6" s="120" t="s">
        <v>1332</v>
      </c>
      <c r="M6" s="84" t="s">
        <v>68</v>
      </c>
      <c r="N6" s="84">
        <v>1</v>
      </c>
      <c r="O6" s="129" t="s">
        <v>1338</v>
      </c>
    </row>
    <row r="7" spans="1:16" s="124" customFormat="1" ht="50.1" customHeight="1">
      <c r="A7" s="112">
        <v>6</v>
      </c>
      <c r="B7" s="113" t="s">
        <v>701</v>
      </c>
      <c r="C7" s="114" t="s">
        <v>54</v>
      </c>
      <c r="D7" s="114" t="s">
        <v>1098</v>
      </c>
      <c r="E7" s="114">
        <v>34.5</v>
      </c>
      <c r="F7" s="114" t="s">
        <v>697</v>
      </c>
      <c r="G7" s="115" t="s">
        <v>1041</v>
      </c>
      <c r="H7" s="114" t="s">
        <v>1099</v>
      </c>
      <c r="I7" s="140" t="s">
        <v>1101</v>
      </c>
      <c r="J7" s="114" t="s">
        <v>1033</v>
      </c>
      <c r="K7" s="143" t="s">
        <v>707</v>
      </c>
      <c r="L7" s="120" t="s">
        <v>1332</v>
      </c>
      <c r="M7" s="84" t="s">
        <v>68</v>
      </c>
      <c r="N7" s="84">
        <v>1</v>
      </c>
      <c r="O7" s="129" t="s">
        <v>1338</v>
      </c>
    </row>
    <row r="8" spans="1:16" s="124" customFormat="1" ht="50.1" customHeight="1">
      <c r="A8" s="112">
        <v>7</v>
      </c>
      <c r="B8" s="113" t="s">
        <v>701</v>
      </c>
      <c r="C8" s="114" t="s">
        <v>54</v>
      </c>
      <c r="D8" s="114" t="s">
        <v>1102</v>
      </c>
      <c r="E8" s="114">
        <v>34.5</v>
      </c>
      <c r="F8" s="114" t="s">
        <v>697</v>
      </c>
      <c r="G8" s="115" t="s">
        <v>1041</v>
      </c>
      <c r="H8" s="114" t="s">
        <v>1103</v>
      </c>
      <c r="I8" s="140" t="s">
        <v>1104</v>
      </c>
      <c r="J8" s="114" t="s">
        <v>1105</v>
      </c>
      <c r="K8" s="143" t="s">
        <v>708</v>
      </c>
      <c r="L8" s="120" t="s">
        <v>1332</v>
      </c>
      <c r="M8" s="84" t="s">
        <v>68</v>
      </c>
      <c r="N8" s="84">
        <v>1</v>
      </c>
      <c r="O8" s="129">
        <v>45736</v>
      </c>
    </row>
    <row r="9" spans="1:16" s="124" customFormat="1" ht="50.1" customHeight="1">
      <c r="A9" s="112">
        <v>8</v>
      </c>
      <c r="B9" s="113" t="s">
        <v>701</v>
      </c>
      <c r="C9" s="114" t="s">
        <v>54</v>
      </c>
      <c r="D9" s="114" t="s">
        <v>1102</v>
      </c>
      <c r="E9" s="114">
        <v>34.5</v>
      </c>
      <c r="F9" s="114" t="s">
        <v>697</v>
      </c>
      <c r="G9" s="115" t="s">
        <v>1041</v>
      </c>
      <c r="H9" s="114" t="s">
        <v>1103</v>
      </c>
      <c r="I9" s="140" t="s">
        <v>1106</v>
      </c>
      <c r="J9" s="114" t="s">
        <v>1037</v>
      </c>
      <c r="K9" s="143" t="s">
        <v>707</v>
      </c>
      <c r="L9" s="120" t="s">
        <v>1332</v>
      </c>
      <c r="M9" s="84" t="s">
        <v>68</v>
      </c>
      <c r="N9" s="84">
        <v>1</v>
      </c>
      <c r="O9" s="129" t="s">
        <v>1338</v>
      </c>
    </row>
    <row r="10" spans="1:16" s="124" customFormat="1" ht="50.1" customHeight="1">
      <c r="A10" s="112">
        <v>9</v>
      </c>
      <c r="B10" s="113" t="s">
        <v>701</v>
      </c>
      <c r="C10" s="114" t="s">
        <v>54</v>
      </c>
      <c r="D10" s="114" t="s">
        <v>1107</v>
      </c>
      <c r="E10" s="114">
        <v>34.5</v>
      </c>
      <c r="F10" s="114" t="s">
        <v>697</v>
      </c>
      <c r="G10" s="115" t="s">
        <v>1041</v>
      </c>
      <c r="H10" s="114" t="s">
        <v>1099</v>
      </c>
      <c r="I10" s="140" t="s">
        <v>1108</v>
      </c>
      <c r="J10" s="114" t="s">
        <v>1033</v>
      </c>
      <c r="K10" s="143" t="s">
        <v>707</v>
      </c>
      <c r="L10" s="120" t="s">
        <v>1332</v>
      </c>
      <c r="M10" s="84" t="s">
        <v>68</v>
      </c>
      <c r="N10" s="84">
        <v>1</v>
      </c>
      <c r="O10" s="129" t="s">
        <v>1338</v>
      </c>
    </row>
    <row r="11" spans="1:16" s="124" customFormat="1" ht="50.1" customHeight="1">
      <c r="A11" s="112">
        <v>10</v>
      </c>
      <c r="B11" s="113" t="s">
        <v>701</v>
      </c>
      <c r="C11" s="114" t="s">
        <v>54</v>
      </c>
      <c r="D11" s="114" t="s">
        <v>1107</v>
      </c>
      <c r="E11" s="114">
        <v>34.5</v>
      </c>
      <c r="F11" s="114" t="s">
        <v>697</v>
      </c>
      <c r="G11" s="115" t="s">
        <v>1041</v>
      </c>
      <c r="H11" s="114" t="s">
        <v>1099</v>
      </c>
      <c r="I11" s="140" t="s">
        <v>1109</v>
      </c>
      <c r="J11" s="114" t="s">
        <v>1034</v>
      </c>
      <c r="K11" s="143" t="s">
        <v>707</v>
      </c>
      <c r="L11" s="120" t="s">
        <v>1332</v>
      </c>
      <c r="M11" s="84" t="s">
        <v>68</v>
      </c>
      <c r="N11" s="84">
        <v>1</v>
      </c>
      <c r="O11" s="129" t="s">
        <v>1338</v>
      </c>
    </row>
    <row r="12" spans="1:16" s="124" customFormat="1" ht="50.1" customHeight="1">
      <c r="A12" s="112">
        <v>11</v>
      </c>
      <c r="B12" s="113" t="s">
        <v>701</v>
      </c>
      <c r="C12" s="114" t="s">
        <v>54</v>
      </c>
      <c r="D12" s="114" t="s">
        <v>1110</v>
      </c>
      <c r="E12" s="114">
        <v>34.5</v>
      </c>
      <c r="F12" s="114" t="s">
        <v>697</v>
      </c>
      <c r="G12" s="115" t="s">
        <v>1041</v>
      </c>
      <c r="H12" s="114" t="s">
        <v>1099</v>
      </c>
      <c r="I12" s="140" t="s">
        <v>1111</v>
      </c>
      <c r="J12" s="114" t="s">
        <v>1033</v>
      </c>
      <c r="K12" s="143" t="s">
        <v>708</v>
      </c>
      <c r="L12" s="120" t="s">
        <v>1332</v>
      </c>
      <c r="M12" s="84" t="s">
        <v>68</v>
      </c>
      <c r="N12" s="84">
        <v>1</v>
      </c>
      <c r="O12" s="129">
        <v>45606</v>
      </c>
    </row>
    <row r="13" spans="1:16" s="124" customFormat="1" ht="50.1" customHeight="1">
      <c r="A13" s="112">
        <v>12</v>
      </c>
      <c r="B13" s="113" t="s">
        <v>701</v>
      </c>
      <c r="C13" s="114" t="s">
        <v>54</v>
      </c>
      <c r="D13" s="114" t="s">
        <v>1112</v>
      </c>
      <c r="E13" s="114">
        <v>34.5</v>
      </c>
      <c r="F13" s="114" t="s">
        <v>697</v>
      </c>
      <c r="G13" s="115" t="s">
        <v>1041</v>
      </c>
      <c r="H13" s="114" t="s">
        <v>1113</v>
      </c>
      <c r="I13" s="140" t="s">
        <v>1114</v>
      </c>
      <c r="J13" s="114" t="s">
        <v>1037</v>
      </c>
      <c r="K13" s="143" t="s">
        <v>708</v>
      </c>
      <c r="L13" s="120" t="s">
        <v>1332</v>
      </c>
      <c r="M13" s="84" t="s">
        <v>68</v>
      </c>
      <c r="N13" s="84">
        <v>1</v>
      </c>
      <c r="O13" s="129">
        <v>45701</v>
      </c>
    </row>
    <row r="14" spans="1:16" s="124" customFormat="1" ht="50.1" customHeight="1">
      <c r="A14" s="112">
        <v>13</v>
      </c>
      <c r="B14" s="113" t="s">
        <v>701</v>
      </c>
      <c r="C14" s="114" t="s">
        <v>54</v>
      </c>
      <c r="D14" s="114" t="s">
        <v>1112</v>
      </c>
      <c r="E14" s="114">
        <v>34.5</v>
      </c>
      <c r="F14" s="114" t="s">
        <v>697</v>
      </c>
      <c r="G14" s="115" t="s">
        <v>1041</v>
      </c>
      <c r="H14" s="114" t="s">
        <v>1099</v>
      </c>
      <c r="I14" s="140" t="s">
        <v>1115</v>
      </c>
      <c r="J14" s="114" t="s">
        <v>1105</v>
      </c>
      <c r="K14" s="143" t="s">
        <v>708</v>
      </c>
      <c r="L14" s="120" t="s">
        <v>1332</v>
      </c>
      <c r="M14" s="84" t="s">
        <v>68</v>
      </c>
      <c r="N14" s="84">
        <v>1</v>
      </c>
      <c r="O14" s="129">
        <v>45701</v>
      </c>
    </row>
    <row r="15" spans="1:16" s="124" customFormat="1" ht="50.1" customHeight="1">
      <c r="A15" s="112">
        <v>14</v>
      </c>
      <c r="B15" s="113" t="s">
        <v>701</v>
      </c>
      <c r="C15" s="114" t="s">
        <v>54</v>
      </c>
      <c r="D15" s="114" t="s">
        <v>1116</v>
      </c>
      <c r="E15" s="114">
        <v>34.5</v>
      </c>
      <c r="F15" s="114" t="s">
        <v>697</v>
      </c>
      <c r="G15" s="115" t="s">
        <v>1041</v>
      </c>
      <c r="H15" s="114" t="s">
        <v>1099</v>
      </c>
      <c r="I15" s="140" t="s">
        <v>1117</v>
      </c>
      <c r="J15" s="114" t="s">
        <v>1033</v>
      </c>
      <c r="K15" s="143" t="s">
        <v>708</v>
      </c>
      <c r="L15" s="120" t="s">
        <v>1332</v>
      </c>
      <c r="M15" s="84" t="s">
        <v>68</v>
      </c>
      <c r="N15" s="84">
        <v>1</v>
      </c>
      <c r="O15" s="129">
        <v>45841</v>
      </c>
    </row>
    <row r="16" spans="1:16" s="124" customFormat="1" ht="50.1" customHeight="1">
      <c r="A16" s="112">
        <v>15</v>
      </c>
      <c r="B16" s="113" t="s">
        <v>701</v>
      </c>
      <c r="C16" s="114" t="s">
        <v>54</v>
      </c>
      <c r="D16" s="114" t="s">
        <v>1118</v>
      </c>
      <c r="E16" s="114">
        <v>34.5</v>
      </c>
      <c r="F16" s="114" t="s">
        <v>697</v>
      </c>
      <c r="G16" s="115" t="s">
        <v>1041</v>
      </c>
      <c r="H16" s="114" t="s">
        <v>1119</v>
      </c>
      <c r="I16" s="140" t="s">
        <v>1120</v>
      </c>
      <c r="J16" s="114" t="s">
        <v>1034</v>
      </c>
      <c r="K16" s="143" t="s">
        <v>707</v>
      </c>
      <c r="L16" s="120" t="s">
        <v>1332</v>
      </c>
      <c r="M16" s="84" t="s">
        <v>68</v>
      </c>
      <c r="N16" s="84">
        <v>1</v>
      </c>
      <c r="O16" s="129" t="s">
        <v>1338</v>
      </c>
    </row>
    <row r="17" spans="1:15" s="124" customFormat="1" ht="50.1" customHeight="1">
      <c r="A17" s="112">
        <v>16</v>
      </c>
      <c r="B17" s="113" t="s">
        <v>701</v>
      </c>
      <c r="C17" s="114" t="s">
        <v>54</v>
      </c>
      <c r="D17" s="114" t="s">
        <v>1121</v>
      </c>
      <c r="E17" s="114">
        <v>34.5</v>
      </c>
      <c r="F17" s="114" t="s">
        <v>697</v>
      </c>
      <c r="G17" s="115" t="s">
        <v>1041</v>
      </c>
      <c r="H17" s="114" t="s">
        <v>1099</v>
      </c>
      <c r="I17" s="140" t="s">
        <v>1122</v>
      </c>
      <c r="J17" s="114" t="s">
        <v>1033</v>
      </c>
      <c r="K17" s="143" t="s">
        <v>707</v>
      </c>
      <c r="L17" s="120" t="s">
        <v>1332</v>
      </c>
      <c r="M17" s="84" t="s">
        <v>68</v>
      </c>
      <c r="N17" s="84">
        <v>1</v>
      </c>
      <c r="O17" s="129" t="s">
        <v>1338</v>
      </c>
    </row>
    <row r="18" spans="1:15" s="124" customFormat="1" ht="50.1" customHeight="1">
      <c r="A18" s="112">
        <v>17</v>
      </c>
      <c r="B18" s="113" t="s">
        <v>701</v>
      </c>
      <c r="C18" s="114" t="s">
        <v>54</v>
      </c>
      <c r="D18" s="114" t="s">
        <v>1121</v>
      </c>
      <c r="E18" s="114">
        <v>34.5</v>
      </c>
      <c r="F18" s="114" t="s">
        <v>697</v>
      </c>
      <c r="G18" s="115" t="s">
        <v>1041</v>
      </c>
      <c r="H18" s="114" t="s">
        <v>1099</v>
      </c>
      <c r="I18" s="140" t="s">
        <v>1123</v>
      </c>
      <c r="J18" s="114" t="s">
        <v>1037</v>
      </c>
      <c r="K18" s="143" t="s">
        <v>707</v>
      </c>
      <c r="L18" s="120" t="s">
        <v>1332</v>
      </c>
      <c r="M18" s="84" t="s">
        <v>68</v>
      </c>
      <c r="N18" s="84">
        <v>1</v>
      </c>
      <c r="O18" s="129" t="s">
        <v>1338</v>
      </c>
    </row>
    <row r="19" spans="1:15" s="124" customFormat="1" ht="50.1" customHeight="1">
      <c r="A19" s="112">
        <v>18</v>
      </c>
      <c r="B19" s="113" t="s">
        <v>701</v>
      </c>
      <c r="C19" s="114" t="s">
        <v>54</v>
      </c>
      <c r="D19" s="114" t="s">
        <v>1124</v>
      </c>
      <c r="E19" s="114">
        <v>34.5</v>
      </c>
      <c r="F19" s="114" t="s">
        <v>697</v>
      </c>
      <c r="G19" s="115" t="s">
        <v>1041</v>
      </c>
      <c r="H19" s="114" t="s">
        <v>1099</v>
      </c>
      <c r="I19" s="140" t="s">
        <v>1125</v>
      </c>
      <c r="J19" s="114" t="s">
        <v>1037</v>
      </c>
      <c r="K19" s="143" t="s">
        <v>708</v>
      </c>
      <c r="L19" s="120" t="s">
        <v>1332</v>
      </c>
      <c r="M19" s="84" t="s">
        <v>68</v>
      </c>
      <c r="N19" s="84">
        <v>1</v>
      </c>
      <c r="O19" s="129">
        <v>45671</v>
      </c>
    </row>
    <row r="20" spans="1:15" s="124" customFormat="1" ht="50.1" customHeight="1">
      <c r="A20" s="112">
        <v>19</v>
      </c>
      <c r="B20" s="113" t="s">
        <v>701</v>
      </c>
      <c r="C20" s="114" t="s">
        <v>54</v>
      </c>
      <c r="D20" s="114" t="s">
        <v>1126</v>
      </c>
      <c r="E20" s="114">
        <v>34.5</v>
      </c>
      <c r="F20" s="114" t="s">
        <v>697</v>
      </c>
      <c r="G20" s="115" t="s">
        <v>1041</v>
      </c>
      <c r="H20" s="114" t="s">
        <v>1099</v>
      </c>
      <c r="I20" s="140" t="s">
        <v>1127</v>
      </c>
      <c r="J20" s="114" t="s">
        <v>1034</v>
      </c>
      <c r="K20" s="143" t="s">
        <v>708</v>
      </c>
      <c r="L20" s="120" t="s">
        <v>1332</v>
      </c>
      <c r="M20" s="84" t="s">
        <v>68</v>
      </c>
      <c r="N20" s="84">
        <v>1</v>
      </c>
      <c r="O20" s="129">
        <v>45704</v>
      </c>
    </row>
    <row r="21" spans="1:15" s="124" customFormat="1" ht="50.1" customHeight="1">
      <c r="A21" s="112">
        <v>20</v>
      </c>
      <c r="B21" s="113" t="s">
        <v>701</v>
      </c>
      <c r="C21" s="114" t="s">
        <v>54</v>
      </c>
      <c r="D21" s="114" t="s">
        <v>1124</v>
      </c>
      <c r="E21" s="114">
        <v>34.5</v>
      </c>
      <c r="F21" s="114" t="s">
        <v>627</v>
      </c>
      <c r="G21" s="115" t="s">
        <v>139</v>
      </c>
      <c r="H21" s="114" t="s">
        <v>1330</v>
      </c>
      <c r="I21" s="140" t="s">
        <v>1331</v>
      </c>
      <c r="J21" s="114">
        <v>0</v>
      </c>
      <c r="K21" s="143" t="s">
        <v>708</v>
      </c>
      <c r="L21" s="120" t="s">
        <v>1332</v>
      </c>
      <c r="M21" s="84" t="s">
        <v>140</v>
      </c>
      <c r="N21" s="84">
        <v>8</v>
      </c>
      <c r="O21" s="129">
        <v>46058</v>
      </c>
    </row>
    <row r="22" spans="1:15" s="124" customFormat="1" ht="50.1" customHeight="1">
      <c r="A22" s="112">
        <v>21</v>
      </c>
      <c r="B22" s="113" t="s">
        <v>701</v>
      </c>
      <c r="C22" s="114" t="s">
        <v>54</v>
      </c>
      <c r="D22" s="114" t="s">
        <v>1107</v>
      </c>
      <c r="E22" s="114">
        <v>34.5</v>
      </c>
      <c r="F22" s="114" t="s">
        <v>627</v>
      </c>
      <c r="G22" s="115" t="s">
        <v>139</v>
      </c>
      <c r="H22" s="114" t="s">
        <v>1330</v>
      </c>
      <c r="I22" s="140" t="s">
        <v>1331</v>
      </c>
      <c r="J22" s="114">
        <v>0</v>
      </c>
      <c r="K22" s="143" t="s">
        <v>707</v>
      </c>
      <c r="L22" s="120" t="s">
        <v>1332</v>
      </c>
      <c r="M22" s="84" t="s">
        <v>140</v>
      </c>
      <c r="N22" s="84">
        <v>8</v>
      </c>
      <c r="O22" s="129" t="s">
        <v>1338</v>
      </c>
    </row>
    <row r="23" spans="1:15" s="124" customFormat="1" ht="50.1" customHeight="1">
      <c r="A23" s="112">
        <v>22</v>
      </c>
      <c r="B23" s="113" t="s">
        <v>701</v>
      </c>
      <c r="C23" s="114" t="s">
        <v>54</v>
      </c>
      <c r="D23" s="114" t="s">
        <v>1110</v>
      </c>
      <c r="E23" s="114">
        <v>34.5</v>
      </c>
      <c r="F23" s="114" t="s">
        <v>627</v>
      </c>
      <c r="G23" s="115" t="s">
        <v>139</v>
      </c>
      <c r="H23" s="114" t="s">
        <v>1330</v>
      </c>
      <c r="I23" s="140" t="s">
        <v>1331</v>
      </c>
      <c r="J23" s="114">
        <v>0</v>
      </c>
      <c r="K23" s="143" t="s">
        <v>707</v>
      </c>
      <c r="L23" s="120" t="s">
        <v>1332</v>
      </c>
      <c r="M23" s="84" t="s">
        <v>140</v>
      </c>
      <c r="N23" s="84">
        <v>8</v>
      </c>
      <c r="O23" s="129" t="s">
        <v>1338</v>
      </c>
    </row>
    <row r="24" spans="1:15" s="124" customFormat="1" ht="50.1" customHeight="1">
      <c r="A24" s="112">
        <v>23</v>
      </c>
      <c r="B24" s="113" t="s">
        <v>701</v>
      </c>
      <c r="C24" s="114" t="s">
        <v>54</v>
      </c>
      <c r="D24" s="114" t="s">
        <v>1096</v>
      </c>
      <c r="E24" s="114">
        <v>34.5</v>
      </c>
      <c r="F24" s="114" t="s">
        <v>673</v>
      </c>
      <c r="G24" s="115" t="s">
        <v>680</v>
      </c>
      <c r="H24" s="114" t="s">
        <v>1092</v>
      </c>
      <c r="I24" s="140" t="s">
        <v>1093</v>
      </c>
      <c r="J24" s="114" t="s">
        <v>1032</v>
      </c>
      <c r="K24" s="143" t="s">
        <v>707</v>
      </c>
      <c r="L24" s="120" t="s">
        <v>1332</v>
      </c>
      <c r="M24" s="84" t="s">
        <v>68</v>
      </c>
      <c r="N24" s="84">
        <v>1</v>
      </c>
      <c r="O24" s="129" t="s">
        <v>1338</v>
      </c>
    </row>
    <row r="25" spans="1:15" s="124" customFormat="1" ht="50.1" customHeight="1">
      <c r="A25" s="112">
        <v>24</v>
      </c>
      <c r="B25" s="113" t="s">
        <v>701</v>
      </c>
      <c r="C25" s="114" t="s">
        <v>54</v>
      </c>
      <c r="D25" s="114" t="s">
        <v>1098</v>
      </c>
      <c r="E25" s="114">
        <v>34.5</v>
      </c>
      <c r="F25" s="114" t="s">
        <v>673</v>
      </c>
      <c r="G25" s="115" t="s">
        <v>680</v>
      </c>
      <c r="H25" s="114" t="s">
        <v>1128</v>
      </c>
      <c r="I25" s="140" t="s">
        <v>1093</v>
      </c>
      <c r="J25" s="114" t="s">
        <v>1032</v>
      </c>
      <c r="K25" s="143" t="s">
        <v>707</v>
      </c>
      <c r="L25" s="120" t="s">
        <v>1332</v>
      </c>
      <c r="M25" s="84" t="s">
        <v>68</v>
      </c>
      <c r="N25" s="84">
        <v>1</v>
      </c>
      <c r="O25" s="129" t="s">
        <v>1338</v>
      </c>
    </row>
    <row r="26" spans="1:15" s="124" customFormat="1" ht="50.1" customHeight="1">
      <c r="A26" s="112">
        <v>25</v>
      </c>
      <c r="B26" s="113" t="s">
        <v>701</v>
      </c>
      <c r="C26" s="114" t="s">
        <v>54</v>
      </c>
      <c r="D26" s="114" t="s">
        <v>1102</v>
      </c>
      <c r="E26" s="114">
        <v>34.5</v>
      </c>
      <c r="F26" s="114" t="s">
        <v>673</v>
      </c>
      <c r="G26" s="115" t="s">
        <v>680</v>
      </c>
      <c r="H26" s="114" t="s">
        <v>1128</v>
      </c>
      <c r="I26" s="140" t="s">
        <v>1336</v>
      </c>
      <c r="J26" s="114" t="s">
        <v>1032</v>
      </c>
      <c r="K26" s="143" t="s">
        <v>708</v>
      </c>
      <c r="L26" s="120" t="s">
        <v>1332</v>
      </c>
      <c r="M26" s="84" t="s">
        <v>68</v>
      </c>
      <c r="N26" s="84">
        <v>1</v>
      </c>
      <c r="O26" s="129">
        <v>45677</v>
      </c>
    </row>
    <row r="27" spans="1:15" s="124" customFormat="1" ht="50.1" customHeight="1">
      <c r="A27" s="112">
        <v>26</v>
      </c>
      <c r="B27" s="113" t="s">
        <v>701</v>
      </c>
      <c r="C27" s="114" t="s">
        <v>54</v>
      </c>
      <c r="D27" s="114" t="s">
        <v>1107</v>
      </c>
      <c r="E27" s="114">
        <v>34.5</v>
      </c>
      <c r="F27" s="114" t="s">
        <v>673</v>
      </c>
      <c r="G27" s="115" t="s">
        <v>680</v>
      </c>
      <c r="H27" s="114" t="s">
        <v>1128</v>
      </c>
      <c r="I27" s="140" t="s">
        <v>1093</v>
      </c>
      <c r="J27" s="114" t="s">
        <v>1032</v>
      </c>
      <c r="K27" s="143" t="s">
        <v>707</v>
      </c>
      <c r="L27" s="120" t="s">
        <v>1332</v>
      </c>
      <c r="M27" s="84" t="s">
        <v>68</v>
      </c>
      <c r="N27" s="84">
        <v>1</v>
      </c>
      <c r="O27" s="129" t="s">
        <v>1338</v>
      </c>
    </row>
    <row r="28" spans="1:15" s="124" customFormat="1" ht="50.1" customHeight="1">
      <c r="A28" s="112">
        <v>27</v>
      </c>
      <c r="B28" s="113" t="s">
        <v>701</v>
      </c>
      <c r="C28" s="114" t="s">
        <v>54</v>
      </c>
      <c r="D28" s="114" t="s">
        <v>1129</v>
      </c>
      <c r="E28" s="114">
        <v>34.5</v>
      </c>
      <c r="F28" s="114" t="s">
        <v>673</v>
      </c>
      <c r="G28" s="115" t="s">
        <v>680</v>
      </c>
      <c r="H28" s="114" t="s">
        <v>1130</v>
      </c>
      <c r="I28" s="140" t="s">
        <v>1093</v>
      </c>
      <c r="J28" s="114" t="s">
        <v>1032</v>
      </c>
      <c r="K28" s="143" t="s">
        <v>707</v>
      </c>
      <c r="L28" s="120" t="s">
        <v>1332</v>
      </c>
      <c r="M28" s="84" t="s">
        <v>68</v>
      </c>
      <c r="N28" s="84">
        <v>1</v>
      </c>
      <c r="O28" s="129" t="s">
        <v>1338</v>
      </c>
    </row>
    <row r="29" spans="1:15" s="124" customFormat="1" ht="50.1" customHeight="1">
      <c r="A29" s="112">
        <v>28</v>
      </c>
      <c r="B29" s="113" t="s">
        <v>701</v>
      </c>
      <c r="C29" s="114" t="s">
        <v>54</v>
      </c>
      <c r="D29" s="114" t="s">
        <v>1110</v>
      </c>
      <c r="E29" s="114">
        <v>34.5</v>
      </c>
      <c r="F29" s="114" t="s">
        <v>673</v>
      </c>
      <c r="G29" s="115" t="s">
        <v>680</v>
      </c>
      <c r="H29" s="114" t="s">
        <v>1131</v>
      </c>
      <c r="I29" s="140" t="s">
        <v>1093</v>
      </c>
      <c r="J29" s="114" t="s">
        <v>1032</v>
      </c>
      <c r="K29" s="143" t="s">
        <v>707</v>
      </c>
      <c r="L29" s="120" t="s">
        <v>1332</v>
      </c>
      <c r="M29" s="84" t="s">
        <v>68</v>
      </c>
      <c r="N29" s="84">
        <v>1</v>
      </c>
      <c r="O29" s="129" t="s">
        <v>1338</v>
      </c>
    </row>
    <row r="30" spans="1:15" s="124" customFormat="1" ht="50.1" customHeight="1">
      <c r="A30" s="112">
        <v>29</v>
      </c>
      <c r="B30" s="113" t="s">
        <v>701</v>
      </c>
      <c r="C30" s="114" t="s">
        <v>54</v>
      </c>
      <c r="D30" s="114" t="s">
        <v>1112</v>
      </c>
      <c r="E30" s="114">
        <v>34.5</v>
      </c>
      <c r="F30" s="114" t="s">
        <v>673</v>
      </c>
      <c r="G30" s="115" t="s">
        <v>680</v>
      </c>
      <c r="H30" s="114" t="s">
        <v>1132</v>
      </c>
      <c r="I30" s="140" t="s">
        <v>1093</v>
      </c>
      <c r="J30" s="114" t="s">
        <v>1032</v>
      </c>
      <c r="K30" s="143" t="s">
        <v>707</v>
      </c>
      <c r="L30" s="120" t="s">
        <v>1332</v>
      </c>
      <c r="M30" s="84" t="s">
        <v>68</v>
      </c>
      <c r="N30" s="84">
        <v>1</v>
      </c>
      <c r="O30" s="129" t="s">
        <v>1338</v>
      </c>
    </row>
    <row r="31" spans="1:15" s="124" customFormat="1" ht="50.1" customHeight="1">
      <c r="A31" s="112">
        <v>30</v>
      </c>
      <c r="B31" s="113" t="s">
        <v>701</v>
      </c>
      <c r="C31" s="114" t="s">
        <v>54</v>
      </c>
      <c r="D31" s="114" t="s">
        <v>1133</v>
      </c>
      <c r="E31" s="114">
        <v>34.5</v>
      </c>
      <c r="F31" s="114" t="s">
        <v>673</v>
      </c>
      <c r="G31" s="115" t="s">
        <v>680</v>
      </c>
      <c r="H31" s="114" t="s">
        <v>1131</v>
      </c>
      <c r="I31" s="140" t="s">
        <v>1093</v>
      </c>
      <c r="J31" s="114" t="s">
        <v>1032</v>
      </c>
      <c r="K31" s="143" t="s">
        <v>707</v>
      </c>
      <c r="L31" s="120" t="s">
        <v>1332</v>
      </c>
      <c r="M31" s="84" t="s">
        <v>68</v>
      </c>
      <c r="N31" s="84">
        <v>1</v>
      </c>
      <c r="O31" s="129" t="s">
        <v>1338</v>
      </c>
    </row>
    <row r="32" spans="1:15" s="124" customFormat="1" ht="50.1" customHeight="1">
      <c r="A32" s="112">
        <v>31</v>
      </c>
      <c r="B32" s="113" t="s">
        <v>701</v>
      </c>
      <c r="C32" s="114" t="s">
        <v>54</v>
      </c>
      <c r="D32" s="114" t="s">
        <v>1116</v>
      </c>
      <c r="E32" s="114">
        <v>34.5</v>
      </c>
      <c r="F32" s="114" t="s">
        <v>673</v>
      </c>
      <c r="G32" s="115" t="s">
        <v>680</v>
      </c>
      <c r="H32" s="114" t="s">
        <v>1131</v>
      </c>
      <c r="I32" s="140" t="s">
        <v>1093</v>
      </c>
      <c r="J32" s="114" t="s">
        <v>1032</v>
      </c>
      <c r="K32" s="143" t="s">
        <v>707</v>
      </c>
      <c r="L32" s="120" t="s">
        <v>1332</v>
      </c>
      <c r="M32" s="84" t="s">
        <v>68</v>
      </c>
      <c r="N32" s="84">
        <v>1</v>
      </c>
      <c r="O32" s="129" t="s">
        <v>1338</v>
      </c>
    </row>
    <row r="33" spans="1:16" s="124" customFormat="1" ht="50.1" customHeight="1">
      <c r="A33" s="112">
        <v>32</v>
      </c>
      <c r="B33" s="113" t="s">
        <v>701</v>
      </c>
      <c r="C33" s="114" t="s">
        <v>54</v>
      </c>
      <c r="D33" s="114" t="s">
        <v>1118</v>
      </c>
      <c r="E33" s="114">
        <v>34.5</v>
      </c>
      <c r="F33" s="114" t="s">
        <v>673</v>
      </c>
      <c r="G33" s="115" t="s">
        <v>680</v>
      </c>
      <c r="H33" s="114" t="s">
        <v>1134</v>
      </c>
      <c r="I33" s="140" t="s">
        <v>1093</v>
      </c>
      <c r="J33" s="114" t="s">
        <v>1032</v>
      </c>
      <c r="K33" s="143" t="s">
        <v>707</v>
      </c>
      <c r="L33" s="120" t="s">
        <v>1332</v>
      </c>
      <c r="M33" s="84" t="s">
        <v>68</v>
      </c>
      <c r="N33" s="84">
        <v>1</v>
      </c>
      <c r="O33" s="129" t="s">
        <v>1338</v>
      </c>
    </row>
    <row r="34" spans="1:16" s="124" customFormat="1" ht="50.1" customHeight="1">
      <c r="A34" s="112">
        <v>33</v>
      </c>
      <c r="B34" s="113" t="s">
        <v>701</v>
      </c>
      <c r="C34" s="114" t="s">
        <v>54</v>
      </c>
      <c r="D34" s="114" t="s">
        <v>1135</v>
      </c>
      <c r="E34" s="114">
        <v>34.5</v>
      </c>
      <c r="F34" s="114" t="s">
        <v>673</v>
      </c>
      <c r="G34" s="115" t="s">
        <v>680</v>
      </c>
      <c r="H34" s="114" t="s">
        <v>1134</v>
      </c>
      <c r="I34" s="140" t="s">
        <v>1093</v>
      </c>
      <c r="J34" s="114" t="s">
        <v>1032</v>
      </c>
      <c r="K34" s="143" t="s">
        <v>707</v>
      </c>
      <c r="L34" s="120" t="s">
        <v>1332</v>
      </c>
      <c r="M34" s="84" t="s">
        <v>68</v>
      </c>
      <c r="N34" s="84">
        <v>1</v>
      </c>
      <c r="O34" s="129" t="s">
        <v>1338</v>
      </c>
    </row>
    <row r="35" spans="1:16" s="124" customFormat="1" ht="50.1" customHeight="1">
      <c r="A35" s="112">
        <v>34</v>
      </c>
      <c r="B35" s="113" t="s">
        <v>701</v>
      </c>
      <c r="C35" s="114" t="s">
        <v>54</v>
      </c>
      <c r="D35" s="114" t="s">
        <v>1136</v>
      </c>
      <c r="E35" s="114">
        <v>34.5</v>
      </c>
      <c r="F35" s="114" t="s">
        <v>673</v>
      </c>
      <c r="G35" s="115" t="s">
        <v>680</v>
      </c>
      <c r="H35" s="114" t="s">
        <v>1131</v>
      </c>
      <c r="I35" s="140" t="s">
        <v>1093</v>
      </c>
      <c r="J35" s="114" t="s">
        <v>1032</v>
      </c>
      <c r="K35" s="143" t="s">
        <v>707</v>
      </c>
      <c r="L35" s="120" t="s">
        <v>1332</v>
      </c>
      <c r="M35" s="84" t="s">
        <v>68</v>
      </c>
      <c r="N35" s="84">
        <v>1</v>
      </c>
      <c r="O35" s="129" t="s">
        <v>1338</v>
      </c>
    </row>
    <row r="36" spans="1:16" s="124" customFormat="1" ht="50.1" customHeight="1">
      <c r="A36" s="112">
        <v>35</v>
      </c>
      <c r="B36" s="113" t="s">
        <v>701</v>
      </c>
      <c r="C36" s="114" t="s">
        <v>54</v>
      </c>
      <c r="D36" s="114" t="s">
        <v>1137</v>
      </c>
      <c r="E36" s="114">
        <v>34.5</v>
      </c>
      <c r="F36" s="114" t="s">
        <v>673</v>
      </c>
      <c r="G36" s="115" t="s">
        <v>680</v>
      </c>
      <c r="H36" s="114" t="s">
        <v>1138</v>
      </c>
      <c r="I36" s="140" t="s">
        <v>1093</v>
      </c>
      <c r="J36" s="114" t="s">
        <v>1032</v>
      </c>
      <c r="K36" s="143" t="s">
        <v>707</v>
      </c>
      <c r="L36" s="120" t="s">
        <v>1332</v>
      </c>
      <c r="M36" s="84" t="s">
        <v>68</v>
      </c>
      <c r="N36" s="84">
        <v>1</v>
      </c>
      <c r="O36" s="129" t="s">
        <v>1338</v>
      </c>
    </row>
    <row r="37" spans="1:16" s="124" customFormat="1" ht="50.1" customHeight="1">
      <c r="A37" s="112">
        <v>36</v>
      </c>
      <c r="B37" s="113" t="s">
        <v>701</v>
      </c>
      <c r="C37" s="114" t="s">
        <v>54</v>
      </c>
      <c r="D37" s="114" t="s">
        <v>1137</v>
      </c>
      <c r="E37" s="114">
        <v>34.5</v>
      </c>
      <c r="F37" s="114" t="s">
        <v>673</v>
      </c>
      <c r="G37" s="115" t="s">
        <v>680</v>
      </c>
      <c r="H37" s="114" t="s">
        <v>1130</v>
      </c>
      <c r="I37" s="140" t="s">
        <v>1093</v>
      </c>
      <c r="J37" s="114" t="s">
        <v>1337</v>
      </c>
      <c r="K37" s="143" t="s">
        <v>707</v>
      </c>
      <c r="L37" s="120" t="s">
        <v>1332</v>
      </c>
      <c r="M37" s="84" t="s">
        <v>68</v>
      </c>
      <c r="N37" s="84">
        <v>1</v>
      </c>
      <c r="O37" s="129" t="s">
        <v>1338</v>
      </c>
    </row>
    <row r="38" spans="1:16" s="124" customFormat="1" ht="50.1" customHeight="1">
      <c r="A38" s="112">
        <v>37</v>
      </c>
      <c r="B38" s="113" t="s">
        <v>701</v>
      </c>
      <c r="C38" s="114" t="s">
        <v>54</v>
      </c>
      <c r="D38" s="114" t="s">
        <v>1121</v>
      </c>
      <c r="E38" s="114">
        <v>34.5</v>
      </c>
      <c r="F38" s="114" t="s">
        <v>673</v>
      </c>
      <c r="G38" s="115" t="s">
        <v>680</v>
      </c>
      <c r="H38" s="114" t="s">
        <v>1131</v>
      </c>
      <c r="I38" s="140" t="s">
        <v>1093</v>
      </c>
      <c r="J38" s="114" t="s">
        <v>1032</v>
      </c>
      <c r="K38" s="143" t="s">
        <v>707</v>
      </c>
      <c r="L38" s="120" t="s">
        <v>1332</v>
      </c>
      <c r="M38" s="84" t="s">
        <v>68</v>
      </c>
      <c r="N38" s="84">
        <v>1</v>
      </c>
      <c r="O38" s="129" t="s">
        <v>1338</v>
      </c>
    </row>
    <row r="39" spans="1:16" s="124" customFormat="1" ht="50.1" customHeight="1">
      <c r="A39" s="112">
        <v>38</v>
      </c>
      <c r="B39" s="113" t="s">
        <v>701</v>
      </c>
      <c r="C39" s="114" t="s">
        <v>54</v>
      </c>
      <c r="D39" s="114" t="s">
        <v>1124</v>
      </c>
      <c r="E39" s="114">
        <v>34.5</v>
      </c>
      <c r="F39" s="114" t="s">
        <v>673</v>
      </c>
      <c r="G39" s="115" t="s">
        <v>680</v>
      </c>
      <c r="H39" s="114" t="s">
        <v>1131</v>
      </c>
      <c r="I39" s="140" t="s">
        <v>1093</v>
      </c>
      <c r="J39" s="114" t="s">
        <v>1032</v>
      </c>
      <c r="K39" s="143" t="s">
        <v>707</v>
      </c>
      <c r="L39" s="120" t="s">
        <v>1332</v>
      </c>
      <c r="M39" s="84" t="s">
        <v>68</v>
      </c>
      <c r="N39" s="84">
        <v>1</v>
      </c>
      <c r="O39" s="129" t="s">
        <v>1338</v>
      </c>
    </row>
    <row r="40" spans="1:16" s="124" customFormat="1" ht="50.1" customHeight="1">
      <c r="A40" s="112">
        <v>39</v>
      </c>
      <c r="B40" s="113" t="s">
        <v>701</v>
      </c>
      <c r="C40" s="114" t="s">
        <v>54</v>
      </c>
      <c r="D40" s="114" t="s">
        <v>1126</v>
      </c>
      <c r="E40" s="114">
        <v>34.5</v>
      </c>
      <c r="F40" s="114" t="s">
        <v>673</v>
      </c>
      <c r="G40" s="115" t="s">
        <v>680</v>
      </c>
      <c r="H40" s="114" t="s">
        <v>1139</v>
      </c>
      <c r="I40" s="140" t="s">
        <v>1093</v>
      </c>
      <c r="J40" s="114" t="s">
        <v>1032</v>
      </c>
      <c r="K40" s="143" t="s">
        <v>707</v>
      </c>
      <c r="L40" s="120" t="s">
        <v>1332</v>
      </c>
      <c r="M40" s="84" t="s">
        <v>68</v>
      </c>
      <c r="N40" s="84">
        <v>1</v>
      </c>
      <c r="O40" s="129" t="s">
        <v>1338</v>
      </c>
    </row>
    <row r="41" spans="1:16" s="124" customFormat="1" ht="50.1" customHeight="1">
      <c r="A41" s="112">
        <v>40</v>
      </c>
      <c r="B41" s="113" t="s">
        <v>701</v>
      </c>
      <c r="C41" s="114" t="s">
        <v>54</v>
      </c>
      <c r="D41" s="114" t="s">
        <v>1124</v>
      </c>
      <c r="E41" s="114">
        <v>34.5</v>
      </c>
      <c r="F41" s="114" t="s">
        <v>627</v>
      </c>
      <c r="G41" s="115" t="s">
        <v>660</v>
      </c>
      <c r="H41" s="114" t="s">
        <v>1140</v>
      </c>
      <c r="I41" s="140" t="s">
        <v>1141</v>
      </c>
      <c r="J41" s="114">
        <v>0</v>
      </c>
      <c r="K41" s="143" t="s">
        <v>707</v>
      </c>
      <c r="L41" s="120" t="s">
        <v>1333</v>
      </c>
      <c r="M41" s="84" t="s">
        <v>68</v>
      </c>
      <c r="N41" s="84">
        <v>1</v>
      </c>
      <c r="O41" s="129" t="s">
        <v>1338</v>
      </c>
    </row>
    <row r="42" spans="1:16" s="124" customFormat="1" ht="50.1" customHeight="1">
      <c r="A42" s="112">
        <v>41</v>
      </c>
      <c r="B42" s="113" t="s">
        <v>701</v>
      </c>
      <c r="C42" s="114" t="s">
        <v>54</v>
      </c>
      <c r="D42" s="114" t="s">
        <v>1121</v>
      </c>
      <c r="E42" s="114">
        <v>34.5</v>
      </c>
      <c r="F42" s="114" t="s">
        <v>627</v>
      </c>
      <c r="G42" s="115" t="s">
        <v>660</v>
      </c>
      <c r="H42" s="114" t="s">
        <v>1140</v>
      </c>
      <c r="I42" s="140" t="s">
        <v>1142</v>
      </c>
      <c r="J42" s="114">
        <v>0</v>
      </c>
      <c r="K42" s="143" t="s">
        <v>707</v>
      </c>
      <c r="L42" s="120" t="s">
        <v>1333</v>
      </c>
      <c r="M42" s="84" t="s">
        <v>68</v>
      </c>
      <c r="N42" s="84">
        <v>1</v>
      </c>
      <c r="O42" s="129" t="s">
        <v>1338</v>
      </c>
    </row>
    <row r="43" spans="1:16" s="124" customFormat="1" ht="50.1" customHeight="1">
      <c r="A43" s="112">
        <v>42</v>
      </c>
      <c r="B43" s="113" t="s">
        <v>701</v>
      </c>
      <c r="C43" s="114" t="s">
        <v>54</v>
      </c>
      <c r="D43" s="114" t="s">
        <v>1118</v>
      </c>
      <c r="E43" s="114">
        <v>34.5</v>
      </c>
      <c r="F43" s="114" t="s">
        <v>697</v>
      </c>
      <c r="G43" s="115" t="s">
        <v>1041</v>
      </c>
      <c r="H43" s="114" t="s">
        <v>1119</v>
      </c>
      <c r="I43" s="140" t="s">
        <v>1143</v>
      </c>
      <c r="J43" s="114" t="s">
        <v>1033</v>
      </c>
      <c r="K43" s="143" t="s">
        <v>708</v>
      </c>
      <c r="L43" s="120" t="s">
        <v>1332</v>
      </c>
      <c r="M43" s="84" t="s">
        <v>68</v>
      </c>
      <c r="N43" s="84">
        <v>1</v>
      </c>
      <c r="O43" s="129">
        <v>45681</v>
      </c>
    </row>
    <row r="44" spans="1:16" s="124" customFormat="1" ht="50.1" customHeight="1">
      <c r="A44" s="112">
        <v>43</v>
      </c>
      <c r="B44" s="113" t="s">
        <v>701</v>
      </c>
      <c r="C44" s="114" t="s">
        <v>54</v>
      </c>
      <c r="D44" s="114" t="s">
        <v>1112</v>
      </c>
      <c r="E44" s="114">
        <v>34.5</v>
      </c>
      <c r="F44" s="114" t="s">
        <v>697</v>
      </c>
      <c r="G44" s="115" t="s">
        <v>1041</v>
      </c>
      <c r="H44" s="114" t="s">
        <v>1113</v>
      </c>
      <c r="I44" s="140" t="s">
        <v>1144</v>
      </c>
      <c r="J44" s="114" t="s">
        <v>1034</v>
      </c>
      <c r="K44" s="143" t="s">
        <v>708</v>
      </c>
      <c r="L44" s="120" t="s">
        <v>1332</v>
      </c>
      <c r="M44" s="84" t="s">
        <v>68</v>
      </c>
      <c r="N44" s="84">
        <v>1</v>
      </c>
      <c r="O44" s="129">
        <v>45704</v>
      </c>
    </row>
    <row r="45" spans="1:16" s="124" customFormat="1" ht="50.1" customHeight="1">
      <c r="A45" s="112">
        <v>44</v>
      </c>
      <c r="B45" s="113" t="s">
        <v>701</v>
      </c>
      <c r="C45" s="114" t="s">
        <v>54</v>
      </c>
      <c r="D45" s="114" t="s">
        <v>1145</v>
      </c>
      <c r="E45" s="114">
        <v>115</v>
      </c>
      <c r="F45" s="114" t="s">
        <v>673</v>
      </c>
      <c r="G45" s="115" t="s">
        <v>685</v>
      </c>
      <c r="H45" s="114" t="s">
        <v>1146</v>
      </c>
      <c r="I45" s="140" t="s">
        <v>1147</v>
      </c>
      <c r="J45" s="114" t="s">
        <v>1148</v>
      </c>
      <c r="K45" s="143" t="s">
        <v>708</v>
      </c>
      <c r="L45" s="120" t="s">
        <v>1332</v>
      </c>
      <c r="M45" s="84" t="s">
        <v>68</v>
      </c>
      <c r="N45" s="84">
        <v>1</v>
      </c>
      <c r="O45" s="129" t="s">
        <v>1338</v>
      </c>
    </row>
    <row r="46" spans="1:16" s="124" customFormat="1" ht="50.1" customHeight="1">
      <c r="A46" s="112">
        <v>45</v>
      </c>
      <c r="B46" s="113" t="s">
        <v>701</v>
      </c>
      <c r="C46" s="114" t="s">
        <v>54</v>
      </c>
      <c r="D46" s="114" t="s">
        <v>1149</v>
      </c>
      <c r="E46" s="114">
        <v>115</v>
      </c>
      <c r="F46" s="114" t="s">
        <v>673</v>
      </c>
      <c r="G46" s="115" t="s">
        <v>685</v>
      </c>
      <c r="H46" s="114" t="s">
        <v>1150</v>
      </c>
      <c r="I46" s="140" t="s">
        <v>1151</v>
      </c>
      <c r="J46" s="114" t="s">
        <v>1152</v>
      </c>
      <c r="K46" s="143" t="s">
        <v>707</v>
      </c>
      <c r="L46" s="120" t="s">
        <v>1332</v>
      </c>
      <c r="M46" s="84" t="s">
        <v>68</v>
      </c>
      <c r="N46" s="84">
        <v>1</v>
      </c>
      <c r="O46" s="129" t="s">
        <v>1338</v>
      </c>
    </row>
    <row r="47" spans="1:16" s="124" customFormat="1" ht="50.1" customHeight="1">
      <c r="A47" s="112">
        <v>46</v>
      </c>
      <c r="B47" s="113" t="s">
        <v>701</v>
      </c>
      <c r="C47" s="114" t="s">
        <v>54</v>
      </c>
      <c r="D47" s="114" t="s">
        <v>1153</v>
      </c>
      <c r="E47" s="114">
        <v>115</v>
      </c>
      <c r="F47" s="114" t="s">
        <v>673</v>
      </c>
      <c r="G47" s="115" t="s">
        <v>685</v>
      </c>
      <c r="H47" s="114" t="s">
        <v>1154</v>
      </c>
      <c r="I47" s="140" t="s">
        <v>1155</v>
      </c>
      <c r="J47" s="114" t="s">
        <v>1156</v>
      </c>
      <c r="K47" s="143" t="s">
        <v>707</v>
      </c>
      <c r="L47" s="120" t="s">
        <v>1332</v>
      </c>
      <c r="M47" s="84" t="s">
        <v>68</v>
      </c>
      <c r="N47" s="84">
        <v>1</v>
      </c>
      <c r="O47" s="129" t="s">
        <v>1338</v>
      </c>
    </row>
    <row r="48" spans="1:16" s="124" customFormat="1" ht="50.1" customHeight="1">
      <c r="A48" s="141">
        <v>47</v>
      </c>
      <c r="B48" s="113" t="s">
        <v>701</v>
      </c>
      <c r="C48" s="114" t="s">
        <v>54</v>
      </c>
      <c r="D48" s="114" t="s">
        <v>1096</v>
      </c>
      <c r="E48" s="114">
        <v>34.5</v>
      </c>
      <c r="F48" s="114" t="s">
        <v>697</v>
      </c>
      <c r="G48" s="115" t="s">
        <v>1041</v>
      </c>
      <c r="H48" s="114" t="s">
        <v>1094</v>
      </c>
      <c r="I48" s="140" t="s">
        <v>1334</v>
      </c>
      <c r="J48" s="114" t="s">
        <v>1034</v>
      </c>
      <c r="K48" s="143" t="s">
        <v>707</v>
      </c>
      <c r="L48" s="120" t="s">
        <v>1332</v>
      </c>
      <c r="M48" s="84" t="s">
        <v>68</v>
      </c>
      <c r="N48" s="84">
        <v>1</v>
      </c>
      <c r="O48" s="129" t="s">
        <v>1338</v>
      </c>
      <c r="P48" s="139"/>
    </row>
    <row r="49" spans="1:15" s="124" customFormat="1" ht="50.1" customHeight="1">
      <c r="A49" s="141">
        <v>48</v>
      </c>
      <c r="B49" s="113" t="s">
        <v>701</v>
      </c>
      <c r="C49" s="114" t="s">
        <v>54</v>
      </c>
      <c r="D49" s="114" t="s">
        <v>1102</v>
      </c>
      <c r="E49" s="114">
        <v>34.5</v>
      </c>
      <c r="F49" s="114" t="s">
        <v>673</v>
      </c>
      <c r="G49" s="115" t="s">
        <v>680</v>
      </c>
      <c r="H49" s="114" t="s">
        <v>1128</v>
      </c>
      <c r="I49" s="140" t="s">
        <v>1335</v>
      </c>
      <c r="J49" s="114" t="s">
        <v>1337</v>
      </c>
      <c r="K49" s="143" t="s">
        <v>707</v>
      </c>
      <c r="L49" s="120" t="s">
        <v>1332</v>
      </c>
      <c r="M49" s="84" t="s">
        <v>68</v>
      </c>
      <c r="N49" s="84">
        <v>1</v>
      </c>
      <c r="O49" s="129" t="s">
        <v>1338</v>
      </c>
    </row>
    <row r="50" spans="1:15" s="124" customFormat="1" ht="50.1" customHeight="1">
      <c r="A50" s="142">
        <v>49</v>
      </c>
      <c r="B50" s="113" t="s">
        <v>701</v>
      </c>
      <c r="C50" s="114" t="s">
        <v>54</v>
      </c>
      <c r="D50" s="114" t="s">
        <v>1133</v>
      </c>
      <c r="E50" s="114">
        <v>34.5</v>
      </c>
      <c r="F50" s="114" t="s">
        <v>697</v>
      </c>
      <c r="G50" s="115" t="s">
        <v>1041</v>
      </c>
      <c r="H50" s="114" t="s">
        <v>1094</v>
      </c>
      <c r="I50" s="140" t="s">
        <v>1339</v>
      </c>
      <c r="J50" s="114" t="s">
        <v>1033</v>
      </c>
      <c r="K50" s="143" t="s">
        <v>708</v>
      </c>
      <c r="L50" s="120" t="s">
        <v>1332</v>
      </c>
      <c r="M50" s="84" t="s">
        <v>68</v>
      </c>
      <c r="N50" s="84">
        <v>1</v>
      </c>
      <c r="O50" s="129" t="s">
        <v>1338</v>
      </c>
    </row>
    <row r="51" spans="1:15" s="124" customFormat="1" ht="50.1" customHeight="1">
      <c r="A51" s="142">
        <v>50</v>
      </c>
      <c r="B51" s="113" t="s">
        <v>701</v>
      </c>
      <c r="C51" s="114" t="s">
        <v>54</v>
      </c>
      <c r="D51" s="114" t="s">
        <v>1133</v>
      </c>
      <c r="E51" s="114">
        <v>34.5</v>
      </c>
      <c r="F51" s="114" t="s">
        <v>697</v>
      </c>
      <c r="G51" s="115" t="s">
        <v>1041</v>
      </c>
      <c r="H51" s="114" t="s">
        <v>1094</v>
      </c>
      <c r="I51" s="140" t="s">
        <v>1340</v>
      </c>
      <c r="J51" s="114" t="s">
        <v>1034</v>
      </c>
      <c r="K51" s="143" t="s">
        <v>708</v>
      </c>
      <c r="L51" s="120" t="s">
        <v>1332</v>
      </c>
      <c r="M51" s="84" t="s">
        <v>68</v>
      </c>
      <c r="N51" s="84">
        <v>1</v>
      </c>
      <c r="O51" s="129" t="s">
        <v>1338</v>
      </c>
    </row>
    <row r="52" spans="1:15" s="124" customFormat="1" ht="50.1" customHeight="1">
      <c r="A52" s="142">
        <v>51</v>
      </c>
      <c r="B52" s="113" t="s">
        <v>701</v>
      </c>
      <c r="C52" s="114" t="s">
        <v>54</v>
      </c>
      <c r="D52" s="114" t="s">
        <v>1133</v>
      </c>
      <c r="E52" s="114">
        <v>34.5</v>
      </c>
      <c r="F52" s="114" t="s">
        <v>697</v>
      </c>
      <c r="G52" s="115" t="s">
        <v>1041</v>
      </c>
      <c r="H52" s="114" t="s">
        <v>1094</v>
      </c>
      <c r="I52" s="140" t="s">
        <v>1341</v>
      </c>
      <c r="J52" s="114" t="s">
        <v>1037</v>
      </c>
      <c r="K52" s="143" t="s">
        <v>708</v>
      </c>
      <c r="L52" s="120" t="s">
        <v>1332</v>
      </c>
      <c r="M52" s="84" t="s">
        <v>68</v>
      </c>
      <c r="N52" s="84">
        <v>1</v>
      </c>
      <c r="O52" s="129" t="s">
        <v>1338</v>
      </c>
    </row>
    <row r="53" spans="1:15" s="124" customFormat="1" ht="50.1" customHeight="1">
      <c r="A53" s="142">
        <v>52</v>
      </c>
      <c r="B53" s="113" t="s">
        <v>701</v>
      </c>
      <c r="C53" s="114" t="s">
        <v>54</v>
      </c>
      <c r="D53" s="114" t="s">
        <v>1102</v>
      </c>
      <c r="E53" s="114">
        <v>34.5</v>
      </c>
      <c r="F53" s="114" t="s">
        <v>697</v>
      </c>
      <c r="G53" s="115" t="s">
        <v>1041</v>
      </c>
      <c r="H53" s="114" t="s">
        <v>1103</v>
      </c>
      <c r="I53" s="140" t="s">
        <v>1342</v>
      </c>
      <c r="J53" s="114" t="s">
        <v>1037</v>
      </c>
      <c r="K53" s="143" t="s">
        <v>708</v>
      </c>
      <c r="L53" s="120" t="s">
        <v>1332</v>
      </c>
      <c r="M53" s="84" t="s">
        <v>68</v>
      </c>
      <c r="N53" s="84">
        <v>1</v>
      </c>
      <c r="O53" s="129" t="s">
        <v>1338</v>
      </c>
    </row>
    <row r="54" spans="1:15" s="124" customFormat="1" ht="50.1" customHeight="1">
      <c r="A54" s="142">
        <v>53</v>
      </c>
      <c r="B54" s="113" t="s">
        <v>701</v>
      </c>
      <c r="C54" s="114" t="s">
        <v>54</v>
      </c>
      <c r="D54" s="114" t="s">
        <v>1121</v>
      </c>
      <c r="E54" s="114">
        <v>34.5</v>
      </c>
      <c r="F54" s="114" t="s">
        <v>697</v>
      </c>
      <c r="G54" s="115" t="s">
        <v>1041</v>
      </c>
      <c r="H54" s="114" t="s">
        <v>1099</v>
      </c>
      <c r="I54" s="140" t="s">
        <v>1343</v>
      </c>
      <c r="J54" s="114" t="s">
        <v>1037</v>
      </c>
      <c r="K54" s="143" t="s">
        <v>707</v>
      </c>
      <c r="L54" s="120" t="s">
        <v>1332</v>
      </c>
      <c r="M54" s="84" t="s">
        <v>68</v>
      </c>
      <c r="N54" s="84">
        <v>1</v>
      </c>
      <c r="O54" s="129" t="s">
        <v>1338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O49">
    <sortCondition ref="A2"/>
  </sortState>
  <dataValidations count="7">
    <dataValidation type="list" allowBlank="1" showInputMessage="1" showErrorMessage="1" sqref="G2:G43 C2:C43 G48:G54 C48:C54" xr:uid="{00000000-0002-0000-0000-000000000000}">
      <formula1>INDIRECT(B2)</formula1>
    </dataValidation>
    <dataValidation type="list" allowBlank="1" showInputMessage="1" showErrorMessage="1" sqref="E48:E54 E2:E43" xr:uid="{00000000-0002-0000-0000-000001000000}">
      <formula1>TENSIONSUBESTACION</formula1>
    </dataValidation>
    <dataValidation type="list" allowBlank="1" showInputMessage="1" showErrorMessage="1" sqref="F2:F43 F48:F54" xr:uid="{00000000-0002-0000-0000-000002000000}">
      <formula1>COMPONENTES</formula1>
    </dataValidation>
    <dataValidation type="list" allowBlank="1" showInputMessage="1" showErrorMessage="1" sqref="B48:B54 B2:B43" xr:uid="{00000000-0002-0000-0000-000003000000}">
      <formula1>REGION</formula1>
    </dataValidation>
    <dataValidation type="list" allowBlank="1" showInputMessage="1" showErrorMessage="1" sqref="K48:K54 K2:K43" xr:uid="{00000000-0002-0000-0000-000004000000}">
      <formula1>ESTATUS</formula1>
    </dataValidation>
    <dataValidation type="list" allowBlank="1" showInputMessage="1" showErrorMessage="1" sqref="L2:L54" xr:uid="{00000000-0002-0000-0000-000005000000}">
      <formula1>"ALTA,MEDIA,BAJA"</formula1>
    </dataValidation>
    <dataValidation type="list" allowBlank="1" showInputMessage="1" showErrorMessage="1" sqref="M2:M54" xr:uid="{00000000-0002-0000-0000-000006000000}">
      <formula1>UNIDAD</formula1>
    </dataValidation>
  </dataValidations>
  <printOptions horizontalCentered="1"/>
  <pageMargins left="0" right="0" top="0.78749999999999998" bottom="0" header="0.51180555555555551" footer="0.51180555555555551"/>
  <pageSetup scale="13" firstPageNumber="0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O54"/>
  <sheetViews>
    <sheetView showGridLines="0" topLeftCell="H1" zoomScale="82" zoomScaleNormal="82" zoomScaleSheetLayoutView="90" workbookViewId="0">
      <pane ySplit="1" topLeftCell="A8" activePane="bottomLeft" state="frozen"/>
      <selection pane="bottomLeft" activeCell="I1" sqref="I1"/>
    </sheetView>
  </sheetViews>
  <sheetFormatPr baseColWidth="10" defaultColWidth="11.44140625" defaultRowHeight="20.399999999999999"/>
  <cols>
    <col min="1" max="1" width="26.5546875" style="127" customWidth="1"/>
    <col min="2" max="4" width="30.6640625" style="127" customWidth="1"/>
    <col min="5" max="5" width="16.109375" style="127" customWidth="1"/>
    <col min="6" max="6" width="43.88671875" style="125" customWidth="1"/>
    <col min="7" max="7" width="42.44140625" style="125" customWidth="1"/>
    <col min="8" max="8" width="40.33203125" style="127" customWidth="1"/>
    <col min="9" max="9" width="63.109375" style="127" customWidth="1"/>
    <col min="10" max="10" width="30.6640625" style="127" customWidth="1"/>
    <col min="11" max="11" width="30.6640625" style="32" customWidth="1"/>
    <col min="12" max="12" width="27.44140625" style="128" customWidth="1"/>
    <col min="13" max="13" width="30.6640625" style="128" customWidth="1"/>
    <col min="14" max="15" width="30.6640625" style="32" customWidth="1"/>
    <col min="16" max="16384" width="11.44140625" style="32"/>
  </cols>
  <sheetData>
    <row r="1" spans="1:15" ht="49.5" customHeight="1">
      <c r="A1" s="122" t="s">
        <v>1327</v>
      </c>
      <c r="B1" s="117" t="s">
        <v>698</v>
      </c>
      <c r="C1" s="117" t="s">
        <v>0</v>
      </c>
      <c r="D1" s="117" t="s">
        <v>501</v>
      </c>
      <c r="E1" s="117" t="s">
        <v>513</v>
      </c>
      <c r="F1" s="118" t="s">
        <v>514</v>
      </c>
      <c r="G1" s="118" t="s">
        <v>515</v>
      </c>
      <c r="H1" s="119" t="s">
        <v>3</v>
      </c>
      <c r="I1" s="119" t="s">
        <v>4</v>
      </c>
      <c r="J1" s="119" t="s">
        <v>5</v>
      </c>
      <c r="K1" s="83" t="s">
        <v>537</v>
      </c>
      <c r="L1" s="82" t="s">
        <v>6</v>
      </c>
      <c r="M1" s="110" t="s">
        <v>7</v>
      </c>
      <c r="N1" s="78" t="s">
        <v>706</v>
      </c>
      <c r="O1" s="78" t="s">
        <v>709</v>
      </c>
    </row>
    <row r="2" spans="1:15" ht="30" customHeight="1">
      <c r="A2" s="130">
        <v>1</v>
      </c>
      <c r="B2" s="130" t="s">
        <v>701</v>
      </c>
      <c r="C2" s="131" t="s">
        <v>54</v>
      </c>
      <c r="D2" s="132" t="s">
        <v>1091</v>
      </c>
      <c r="E2" s="133">
        <v>34.5</v>
      </c>
      <c r="F2" s="131" t="s">
        <v>627</v>
      </c>
      <c r="G2" s="131" t="s">
        <v>686</v>
      </c>
      <c r="H2" s="130" t="s">
        <v>1318</v>
      </c>
      <c r="I2" s="134" t="s">
        <v>139</v>
      </c>
      <c r="J2" s="135" t="str">
        <f>IFERROR(VLOOKUP(I2,PRECIOS!$A$2:$C$4333,2,0),"")</f>
        <v>TB</v>
      </c>
      <c r="K2" s="136">
        <f>IFERROR(VLOOKUP(I2,PRECIOS!$A$2:$C$4333,3,0),"0")</f>
        <v>780</v>
      </c>
      <c r="L2" s="137">
        <v>15</v>
      </c>
      <c r="M2" s="136">
        <f t="shared" ref="M2:M33" si="0">+K2*L2</f>
        <v>11700</v>
      </c>
      <c r="N2" s="138" t="s">
        <v>708</v>
      </c>
      <c r="O2" s="120" t="s">
        <v>1332</v>
      </c>
    </row>
    <row r="3" spans="1:15" ht="30" customHeight="1">
      <c r="A3" s="130">
        <v>2</v>
      </c>
      <c r="B3" s="130" t="s">
        <v>701</v>
      </c>
      <c r="C3" s="131" t="s">
        <v>54</v>
      </c>
      <c r="D3" s="132" t="s">
        <v>1091</v>
      </c>
      <c r="E3" s="133">
        <v>34.5</v>
      </c>
      <c r="F3" s="131" t="s">
        <v>673</v>
      </c>
      <c r="G3" s="131" t="s">
        <v>680</v>
      </c>
      <c r="H3" s="130" t="s">
        <v>232</v>
      </c>
      <c r="I3" s="134" t="s">
        <v>233</v>
      </c>
      <c r="J3" s="135" t="str">
        <f>IFERROR(VLOOKUP(I3,PRECIOS!$A$2:$C$4333,2,0),"")</f>
        <v>UND</v>
      </c>
      <c r="K3" s="136">
        <f>IFERROR(VLOOKUP(I3,PRECIOS!$A$2:$C$4333,3,0),"0")</f>
        <v>54000</v>
      </c>
      <c r="L3" s="137">
        <v>1</v>
      </c>
      <c r="M3" s="136">
        <f t="shared" si="0"/>
        <v>54000</v>
      </c>
      <c r="N3" s="138" t="s">
        <v>707</v>
      </c>
      <c r="O3" s="120" t="s">
        <v>1332</v>
      </c>
    </row>
    <row r="4" spans="1:15" ht="30" customHeight="1">
      <c r="A4" s="130">
        <v>3</v>
      </c>
      <c r="B4" s="130" t="s">
        <v>701</v>
      </c>
      <c r="C4" s="131" t="s">
        <v>54</v>
      </c>
      <c r="D4" s="132" t="s">
        <v>1091</v>
      </c>
      <c r="E4" s="133">
        <v>34.5</v>
      </c>
      <c r="F4" s="131" t="s">
        <v>697</v>
      </c>
      <c r="G4" s="131" t="s">
        <v>1041</v>
      </c>
      <c r="H4" s="130" t="s">
        <v>230</v>
      </c>
      <c r="I4" s="134" t="s">
        <v>231</v>
      </c>
      <c r="J4" s="135" t="str">
        <f>IFERROR(VLOOKUP(I4,PRECIOS!$A$2:$C$4333,2,0),"")</f>
        <v>UND</v>
      </c>
      <c r="K4" s="136">
        <f>IFERROR(VLOOKUP(I4,PRECIOS!$A$2:$C$4333,3,0),"0")</f>
        <v>10908</v>
      </c>
      <c r="L4" s="137">
        <v>1</v>
      </c>
      <c r="M4" s="136">
        <f t="shared" si="0"/>
        <v>10908</v>
      </c>
      <c r="N4" s="138" t="s">
        <v>707</v>
      </c>
      <c r="O4" s="120" t="s">
        <v>1332</v>
      </c>
    </row>
    <row r="5" spans="1:15" ht="30" customHeight="1">
      <c r="A5" s="130">
        <v>4</v>
      </c>
      <c r="B5" s="130" t="s">
        <v>701</v>
      </c>
      <c r="C5" s="131" t="s">
        <v>54</v>
      </c>
      <c r="D5" s="132" t="s">
        <v>1096</v>
      </c>
      <c r="E5" s="133">
        <v>34.5</v>
      </c>
      <c r="F5" s="131" t="s">
        <v>697</v>
      </c>
      <c r="G5" s="131" t="s">
        <v>1041</v>
      </c>
      <c r="H5" s="130" t="s">
        <v>230</v>
      </c>
      <c r="I5" s="134" t="s">
        <v>231</v>
      </c>
      <c r="J5" s="135" t="str">
        <f>IFERROR(VLOOKUP(I5,PRECIOS!$A$2:$C$4333,2,0),"")</f>
        <v>UND</v>
      </c>
      <c r="K5" s="136">
        <f>IFERROR(VLOOKUP(I5,PRECIOS!$A$2:$C$4333,3,0),"0")</f>
        <v>10908</v>
      </c>
      <c r="L5" s="137">
        <v>1</v>
      </c>
      <c r="M5" s="136">
        <f t="shared" si="0"/>
        <v>10908</v>
      </c>
      <c r="N5" s="138" t="s">
        <v>708</v>
      </c>
      <c r="O5" s="120" t="s">
        <v>1332</v>
      </c>
    </row>
    <row r="6" spans="1:15" ht="30" customHeight="1">
      <c r="A6" s="130">
        <v>5</v>
      </c>
      <c r="B6" s="130" t="s">
        <v>701</v>
      </c>
      <c r="C6" s="131" t="s">
        <v>54</v>
      </c>
      <c r="D6" s="132" t="s">
        <v>1098</v>
      </c>
      <c r="E6" s="133">
        <v>34.5</v>
      </c>
      <c r="F6" s="131" t="s">
        <v>697</v>
      </c>
      <c r="G6" s="131" t="s">
        <v>1041</v>
      </c>
      <c r="H6" s="130" t="s">
        <v>230</v>
      </c>
      <c r="I6" s="134" t="s">
        <v>231</v>
      </c>
      <c r="J6" s="135" t="str">
        <f>IFERROR(VLOOKUP(I6,PRECIOS!$A$2:$C$4333,2,0),"")</f>
        <v>UND</v>
      </c>
      <c r="K6" s="136">
        <f>IFERROR(VLOOKUP(I6,PRECIOS!$A$2:$C$4333,3,0),"0")</f>
        <v>10908</v>
      </c>
      <c r="L6" s="137">
        <v>1</v>
      </c>
      <c r="M6" s="136">
        <f t="shared" si="0"/>
        <v>10908</v>
      </c>
      <c r="N6" s="138" t="s">
        <v>707</v>
      </c>
      <c r="O6" s="120" t="s">
        <v>1332</v>
      </c>
    </row>
    <row r="7" spans="1:15" ht="30" customHeight="1">
      <c r="A7" s="130">
        <v>6</v>
      </c>
      <c r="B7" s="130" t="s">
        <v>701</v>
      </c>
      <c r="C7" s="131" t="s">
        <v>54</v>
      </c>
      <c r="D7" s="132" t="s">
        <v>1098</v>
      </c>
      <c r="E7" s="133">
        <v>34.5</v>
      </c>
      <c r="F7" s="131" t="s">
        <v>697</v>
      </c>
      <c r="G7" s="131" t="s">
        <v>1041</v>
      </c>
      <c r="H7" s="130" t="s">
        <v>230</v>
      </c>
      <c r="I7" s="134" t="s">
        <v>231</v>
      </c>
      <c r="J7" s="135" t="str">
        <f>IFERROR(VLOOKUP(I7,PRECIOS!$A$2:$C$4333,2,0),"")</f>
        <v>UND</v>
      </c>
      <c r="K7" s="136">
        <f>IFERROR(VLOOKUP(I7,PRECIOS!$A$2:$C$4333,3,0),"0")</f>
        <v>10908</v>
      </c>
      <c r="L7" s="137">
        <v>1</v>
      </c>
      <c r="M7" s="136">
        <f t="shared" si="0"/>
        <v>10908</v>
      </c>
      <c r="N7" s="138" t="s">
        <v>707</v>
      </c>
      <c r="O7" s="120" t="s">
        <v>1332</v>
      </c>
    </row>
    <row r="8" spans="1:15" ht="30" customHeight="1">
      <c r="A8" s="130">
        <v>7</v>
      </c>
      <c r="B8" s="130" t="s">
        <v>701</v>
      </c>
      <c r="C8" s="131" t="s">
        <v>54</v>
      </c>
      <c r="D8" s="132" t="s">
        <v>1102</v>
      </c>
      <c r="E8" s="133">
        <v>34.5</v>
      </c>
      <c r="F8" s="131" t="s">
        <v>697</v>
      </c>
      <c r="G8" s="131" t="s">
        <v>1041</v>
      </c>
      <c r="H8" s="130" t="s">
        <v>230</v>
      </c>
      <c r="I8" s="134" t="s">
        <v>231</v>
      </c>
      <c r="J8" s="135" t="str">
        <f>IFERROR(VLOOKUP(I8,PRECIOS!$A$2:$C$4333,2,0),"")</f>
        <v>UND</v>
      </c>
      <c r="K8" s="136">
        <f>IFERROR(VLOOKUP(I8,PRECIOS!$A$2:$C$4333,3,0),"0")</f>
        <v>10908</v>
      </c>
      <c r="L8" s="137">
        <v>1</v>
      </c>
      <c r="M8" s="136">
        <f t="shared" si="0"/>
        <v>10908</v>
      </c>
      <c r="N8" s="138" t="s">
        <v>708</v>
      </c>
      <c r="O8" s="120" t="s">
        <v>1332</v>
      </c>
    </row>
    <row r="9" spans="1:15" ht="30" customHeight="1">
      <c r="A9" s="130">
        <v>8</v>
      </c>
      <c r="B9" s="130" t="s">
        <v>701</v>
      </c>
      <c r="C9" s="131" t="s">
        <v>54</v>
      </c>
      <c r="D9" s="132" t="s">
        <v>1102</v>
      </c>
      <c r="E9" s="133">
        <v>34.5</v>
      </c>
      <c r="F9" s="131" t="s">
        <v>697</v>
      </c>
      <c r="G9" s="131" t="s">
        <v>1041</v>
      </c>
      <c r="H9" s="130" t="s">
        <v>230</v>
      </c>
      <c r="I9" s="134" t="s">
        <v>231</v>
      </c>
      <c r="J9" s="135" t="str">
        <f>IFERROR(VLOOKUP(I9,PRECIOS!$A$2:$C$4333,2,0),"")</f>
        <v>UND</v>
      </c>
      <c r="K9" s="136">
        <f>IFERROR(VLOOKUP(I9,PRECIOS!$A$2:$C$4333,3,0),"0")</f>
        <v>10908</v>
      </c>
      <c r="L9" s="137">
        <v>1</v>
      </c>
      <c r="M9" s="136">
        <f t="shared" si="0"/>
        <v>10908</v>
      </c>
      <c r="N9" s="138" t="s">
        <v>707</v>
      </c>
      <c r="O9" s="120" t="s">
        <v>1332</v>
      </c>
    </row>
    <row r="10" spans="1:15" ht="30" customHeight="1">
      <c r="A10" s="130">
        <v>9</v>
      </c>
      <c r="B10" s="130" t="s">
        <v>701</v>
      </c>
      <c r="C10" s="131" t="s">
        <v>54</v>
      </c>
      <c r="D10" s="132" t="s">
        <v>1107</v>
      </c>
      <c r="E10" s="133">
        <v>34.5</v>
      </c>
      <c r="F10" s="131" t="s">
        <v>697</v>
      </c>
      <c r="G10" s="131" t="s">
        <v>1041</v>
      </c>
      <c r="H10" s="130" t="s">
        <v>230</v>
      </c>
      <c r="I10" s="134" t="s">
        <v>231</v>
      </c>
      <c r="J10" s="135" t="str">
        <f>IFERROR(VLOOKUP(I10,PRECIOS!$A$2:$C$4333,2,0),"")</f>
        <v>UND</v>
      </c>
      <c r="K10" s="136">
        <f>IFERROR(VLOOKUP(I10,PRECIOS!$A$2:$C$4333,3,0),"0")</f>
        <v>10908</v>
      </c>
      <c r="L10" s="137">
        <v>1</v>
      </c>
      <c r="M10" s="136">
        <f t="shared" si="0"/>
        <v>10908</v>
      </c>
      <c r="N10" s="138" t="s">
        <v>707</v>
      </c>
      <c r="O10" s="120" t="s">
        <v>1332</v>
      </c>
    </row>
    <row r="11" spans="1:15" ht="30" customHeight="1">
      <c r="A11" s="130">
        <v>10</v>
      </c>
      <c r="B11" s="130" t="s">
        <v>701</v>
      </c>
      <c r="C11" s="131" t="s">
        <v>54</v>
      </c>
      <c r="D11" s="132" t="s">
        <v>1107</v>
      </c>
      <c r="E11" s="133">
        <v>34.5</v>
      </c>
      <c r="F11" s="131" t="s">
        <v>697</v>
      </c>
      <c r="G11" s="131" t="s">
        <v>1041</v>
      </c>
      <c r="H11" s="130" t="s">
        <v>230</v>
      </c>
      <c r="I11" s="134" t="s">
        <v>231</v>
      </c>
      <c r="J11" s="135" t="str">
        <f>IFERROR(VLOOKUP(I11,PRECIOS!$A$2:$C$4333,2,0),"")</f>
        <v>UND</v>
      </c>
      <c r="K11" s="136">
        <f>IFERROR(VLOOKUP(I11,PRECIOS!$A$2:$C$4333,3,0),"0")</f>
        <v>10908</v>
      </c>
      <c r="L11" s="137">
        <v>1</v>
      </c>
      <c r="M11" s="136">
        <f t="shared" si="0"/>
        <v>10908</v>
      </c>
      <c r="N11" s="138" t="s">
        <v>707</v>
      </c>
      <c r="O11" s="120" t="s">
        <v>1332</v>
      </c>
    </row>
    <row r="12" spans="1:15" ht="30" customHeight="1">
      <c r="A12" s="130">
        <v>11</v>
      </c>
      <c r="B12" s="130" t="s">
        <v>701</v>
      </c>
      <c r="C12" s="131" t="s">
        <v>54</v>
      </c>
      <c r="D12" s="132" t="s">
        <v>1110</v>
      </c>
      <c r="E12" s="133">
        <v>34.5</v>
      </c>
      <c r="F12" s="131" t="s">
        <v>697</v>
      </c>
      <c r="G12" s="131" t="s">
        <v>1041</v>
      </c>
      <c r="H12" s="130" t="s">
        <v>230</v>
      </c>
      <c r="I12" s="134" t="s">
        <v>231</v>
      </c>
      <c r="J12" s="135" t="str">
        <f>IFERROR(VLOOKUP(I12,PRECIOS!$A$2:$C$4333,2,0),"")</f>
        <v>UND</v>
      </c>
      <c r="K12" s="136">
        <f>IFERROR(VLOOKUP(I12,PRECIOS!$A$2:$C$4333,3,0),"0")</f>
        <v>10908</v>
      </c>
      <c r="L12" s="137">
        <v>1</v>
      </c>
      <c r="M12" s="136">
        <f t="shared" si="0"/>
        <v>10908</v>
      </c>
      <c r="N12" s="138" t="s">
        <v>708</v>
      </c>
      <c r="O12" s="120" t="s">
        <v>1332</v>
      </c>
    </row>
    <row r="13" spans="1:15" ht="30" customHeight="1">
      <c r="A13" s="130">
        <v>12</v>
      </c>
      <c r="B13" s="130" t="s">
        <v>701</v>
      </c>
      <c r="C13" s="131" t="s">
        <v>54</v>
      </c>
      <c r="D13" s="132" t="s">
        <v>1112</v>
      </c>
      <c r="E13" s="133">
        <v>34.5</v>
      </c>
      <c r="F13" s="131" t="s">
        <v>697</v>
      </c>
      <c r="G13" s="131" t="s">
        <v>1041</v>
      </c>
      <c r="H13" s="130" t="s">
        <v>230</v>
      </c>
      <c r="I13" s="134" t="s">
        <v>231</v>
      </c>
      <c r="J13" s="135" t="str">
        <f>IFERROR(VLOOKUP(I13,PRECIOS!$A$2:$C$4333,2,0),"")</f>
        <v>UND</v>
      </c>
      <c r="K13" s="136">
        <f>IFERROR(VLOOKUP(I13,PRECIOS!$A$2:$C$4333,3,0),"0")</f>
        <v>10908</v>
      </c>
      <c r="L13" s="137">
        <v>1</v>
      </c>
      <c r="M13" s="136">
        <f t="shared" si="0"/>
        <v>10908</v>
      </c>
      <c r="N13" s="138" t="s">
        <v>708</v>
      </c>
      <c r="O13" s="120" t="s">
        <v>1332</v>
      </c>
    </row>
    <row r="14" spans="1:15" ht="30" customHeight="1">
      <c r="A14" s="130">
        <v>13</v>
      </c>
      <c r="B14" s="130" t="s">
        <v>701</v>
      </c>
      <c r="C14" s="131" t="s">
        <v>54</v>
      </c>
      <c r="D14" s="132" t="s">
        <v>1112</v>
      </c>
      <c r="E14" s="133">
        <v>34.5</v>
      </c>
      <c r="F14" s="131" t="s">
        <v>697</v>
      </c>
      <c r="G14" s="131" t="s">
        <v>1041</v>
      </c>
      <c r="H14" s="130" t="s">
        <v>230</v>
      </c>
      <c r="I14" s="134" t="s">
        <v>231</v>
      </c>
      <c r="J14" s="135" t="str">
        <f>IFERROR(VLOOKUP(I14,PRECIOS!$A$2:$C$4333,2,0),"")</f>
        <v>UND</v>
      </c>
      <c r="K14" s="136">
        <f>IFERROR(VLOOKUP(I14,PRECIOS!$A$2:$C$4333,3,0),"0")</f>
        <v>10908</v>
      </c>
      <c r="L14" s="137">
        <v>1</v>
      </c>
      <c r="M14" s="136">
        <f t="shared" si="0"/>
        <v>10908</v>
      </c>
      <c r="N14" s="138" t="s">
        <v>708</v>
      </c>
      <c r="O14" s="120" t="s">
        <v>1332</v>
      </c>
    </row>
    <row r="15" spans="1:15" ht="30" customHeight="1">
      <c r="A15" s="130">
        <v>14</v>
      </c>
      <c r="B15" s="130" t="s">
        <v>701</v>
      </c>
      <c r="C15" s="131" t="s">
        <v>54</v>
      </c>
      <c r="D15" s="132" t="s">
        <v>1116</v>
      </c>
      <c r="E15" s="133">
        <v>34.5</v>
      </c>
      <c r="F15" s="131" t="s">
        <v>697</v>
      </c>
      <c r="G15" s="131" t="s">
        <v>1041</v>
      </c>
      <c r="H15" s="130" t="s">
        <v>230</v>
      </c>
      <c r="I15" s="134" t="s">
        <v>231</v>
      </c>
      <c r="J15" s="135" t="str">
        <f>IFERROR(VLOOKUP(I15,PRECIOS!$A$2:$C$4333,2,0),"")</f>
        <v>UND</v>
      </c>
      <c r="K15" s="136">
        <f>IFERROR(VLOOKUP(I15,PRECIOS!$A$2:$C$4333,3,0),"0")</f>
        <v>10908</v>
      </c>
      <c r="L15" s="137">
        <v>1</v>
      </c>
      <c r="M15" s="136">
        <f t="shared" si="0"/>
        <v>10908</v>
      </c>
      <c r="N15" s="138" t="s">
        <v>708</v>
      </c>
      <c r="O15" s="120" t="s">
        <v>1332</v>
      </c>
    </row>
    <row r="16" spans="1:15" ht="30" customHeight="1">
      <c r="A16" s="130">
        <v>15</v>
      </c>
      <c r="B16" s="130" t="s">
        <v>701</v>
      </c>
      <c r="C16" s="131" t="s">
        <v>54</v>
      </c>
      <c r="D16" s="132" t="s">
        <v>1118</v>
      </c>
      <c r="E16" s="133">
        <v>34.5</v>
      </c>
      <c r="F16" s="131" t="s">
        <v>697</v>
      </c>
      <c r="G16" s="131" t="s">
        <v>1041</v>
      </c>
      <c r="H16" s="130" t="s">
        <v>230</v>
      </c>
      <c r="I16" s="134" t="s">
        <v>231</v>
      </c>
      <c r="J16" s="135" t="str">
        <f>IFERROR(VLOOKUP(I16,PRECIOS!$A$2:$C$4333,2,0),"")</f>
        <v>UND</v>
      </c>
      <c r="K16" s="136">
        <f>IFERROR(VLOOKUP(I16,PRECIOS!$A$2:$C$4333,3,0),"0")</f>
        <v>10908</v>
      </c>
      <c r="L16" s="137">
        <v>1</v>
      </c>
      <c r="M16" s="136">
        <f t="shared" si="0"/>
        <v>10908</v>
      </c>
      <c r="N16" s="138" t="s">
        <v>707</v>
      </c>
      <c r="O16" s="120" t="s">
        <v>1332</v>
      </c>
    </row>
    <row r="17" spans="1:15" ht="30" customHeight="1">
      <c r="A17" s="130">
        <v>16</v>
      </c>
      <c r="B17" s="130" t="s">
        <v>701</v>
      </c>
      <c r="C17" s="131" t="s">
        <v>54</v>
      </c>
      <c r="D17" s="132" t="s">
        <v>1121</v>
      </c>
      <c r="E17" s="133">
        <v>34.5</v>
      </c>
      <c r="F17" s="131" t="s">
        <v>697</v>
      </c>
      <c r="G17" s="131" t="s">
        <v>1041</v>
      </c>
      <c r="H17" s="130" t="s">
        <v>230</v>
      </c>
      <c r="I17" s="134" t="s">
        <v>231</v>
      </c>
      <c r="J17" s="135" t="str">
        <f>IFERROR(VLOOKUP(I17,PRECIOS!$A$2:$C$4333,2,0),"")</f>
        <v>UND</v>
      </c>
      <c r="K17" s="136">
        <f>IFERROR(VLOOKUP(I17,PRECIOS!$A$2:$C$4333,3,0),"0")</f>
        <v>10908</v>
      </c>
      <c r="L17" s="137">
        <v>1</v>
      </c>
      <c r="M17" s="136">
        <f t="shared" si="0"/>
        <v>10908</v>
      </c>
      <c r="N17" s="138" t="s">
        <v>707</v>
      </c>
      <c r="O17" s="120" t="s">
        <v>1332</v>
      </c>
    </row>
    <row r="18" spans="1:15" ht="30" customHeight="1">
      <c r="A18" s="130">
        <v>17</v>
      </c>
      <c r="B18" s="130" t="s">
        <v>701</v>
      </c>
      <c r="C18" s="131" t="s">
        <v>54</v>
      </c>
      <c r="D18" s="132" t="s">
        <v>1121</v>
      </c>
      <c r="E18" s="133">
        <v>34.5</v>
      </c>
      <c r="F18" s="131" t="s">
        <v>697</v>
      </c>
      <c r="G18" s="131" t="s">
        <v>1041</v>
      </c>
      <c r="H18" s="130" t="s">
        <v>230</v>
      </c>
      <c r="I18" s="134" t="s">
        <v>231</v>
      </c>
      <c r="J18" s="135" t="str">
        <f>IFERROR(VLOOKUP(I18,PRECIOS!$A$2:$C$4333,2,0),"")</f>
        <v>UND</v>
      </c>
      <c r="K18" s="136">
        <f>IFERROR(VLOOKUP(I18,PRECIOS!$A$2:$C$4333,3,0),"0")</f>
        <v>10908</v>
      </c>
      <c r="L18" s="137">
        <v>1</v>
      </c>
      <c r="M18" s="136">
        <f t="shared" si="0"/>
        <v>10908</v>
      </c>
      <c r="N18" s="138" t="s">
        <v>707</v>
      </c>
      <c r="O18" s="120" t="s">
        <v>1332</v>
      </c>
    </row>
    <row r="19" spans="1:15" ht="30" customHeight="1">
      <c r="A19" s="130">
        <v>18</v>
      </c>
      <c r="B19" s="130" t="s">
        <v>701</v>
      </c>
      <c r="C19" s="131" t="s">
        <v>54</v>
      </c>
      <c r="D19" s="132" t="s">
        <v>1124</v>
      </c>
      <c r="E19" s="133">
        <v>34.5</v>
      </c>
      <c r="F19" s="131" t="s">
        <v>697</v>
      </c>
      <c r="G19" s="131" t="s">
        <v>1041</v>
      </c>
      <c r="H19" s="130" t="s">
        <v>230</v>
      </c>
      <c r="I19" s="134" t="s">
        <v>231</v>
      </c>
      <c r="J19" s="135" t="str">
        <f>IFERROR(VLOOKUP(I19,PRECIOS!$A$2:$C$4333,2,0),"")</f>
        <v>UND</v>
      </c>
      <c r="K19" s="136">
        <f>IFERROR(VLOOKUP(I19,PRECIOS!$A$2:$C$4333,3,0),"0")</f>
        <v>10908</v>
      </c>
      <c r="L19" s="137">
        <v>1</v>
      </c>
      <c r="M19" s="136">
        <f t="shared" si="0"/>
        <v>10908</v>
      </c>
      <c r="N19" s="138" t="s">
        <v>708</v>
      </c>
      <c r="O19" s="120" t="s">
        <v>1332</v>
      </c>
    </row>
    <row r="20" spans="1:15" ht="30" customHeight="1">
      <c r="A20" s="130">
        <v>19</v>
      </c>
      <c r="B20" s="130" t="s">
        <v>701</v>
      </c>
      <c r="C20" s="131" t="s">
        <v>54</v>
      </c>
      <c r="D20" s="132" t="s">
        <v>1126</v>
      </c>
      <c r="E20" s="133">
        <v>34.5</v>
      </c>
      <c r="F20" s="131" t="s">
        <v>697</v>
      </c>
      <c r="G20" s="131" t="s">
        <v>1041</v>
      </c>
      <c r="H20" s="130" t="s">
        <v>230</v>
      </c>
      <c r="I20" s="134" t="s">
        <v>231</v>
      </c>
      <c r="J20" s="135" t="str">
        <f>IFERROR(VLOOKUP(I20,PRECIOS!$A$2:$C$4333,2,0),"")</f>
        <v>UND</v>
      </c>
      <c r="K20" s="136">
        <f>IFERROR(VLOOKUP(I20,PRECIOS!$A$2:$C$4333,3,0),"0")</f>
        <v>10908</v>
      </c>
      <c r="L20" s="137">
        <v>1</v>
      </c>
      <c r="M20" s="136">
        <f t="shared" si="0"/>
        <v>10908</v>
      </c>
      <c r="N20" s="138" t="s">
        <v>708</v>
      </c>
      <c r="O20" s="120" t="s">
        <v>1332</v>
      </c>
    </row>
    <row r="21" spans="1:15" ht="30" customHeight="1">
      <c r="A21" s="130">
        <v>20</v>
      </c>
      <c r="B21" s="130" t="s">
        <v>701</v>
      </c>
      <c r="C21" s="131" t="s">
        <v>54</v>
      </c>
      <c r="D21" s="132" t="s">
        <v>1124</v>
      </c>
      <c r="E21" s="133">
        <v>34.5</v>
      </c>
      <c r="F21" s="131" t="s">
        <v>627</v>
      </c>
      <c r="G21" s="131" t="s">
        <v>686</v>
      </c>
      <c r="H21" s="130" t="s">
        <v>1318</v>
      </c>
      <c r="I21" s="134" t="s">
        <v>139</v>
      </c>
      <c r="J21" s="135" t="str">
        <f>IFERROR(VLOOKUP(I21,PRECIOS!$A$2:$C$4333,2,0),"")</f>
        <v>TB</v>
      </c>
      <c r="K21" s="136">
        <f>IFERROR(VLOOKUP(I21,PRECIOS!$A$2:$C$4333,3,0),"0")</f>
        <v>780</v>
      </c>
      <c r="L21" s="137">
        <v>8</v>
      </c>
      <c r="M21" s="136">
        <f t="shared" si="0"/>
        <v>6240</v>
      </c>
      <c r="N21" s="138" t="s">
        <v>708</v>
      </c>
      <c r="O21" s="120" t="s">
        <v>1332</v>
      </c>
    </row>
    <row r="22" spans="1:15" ht="30" customHeight="1">
      <c r="A22" s="130">
        <v>21</v>
      </c>
      <c r="B22" s="130" t="s">
        <v>701</v>
      </c>
      <c r="C22" s="131" t="s">
        <v>54</v>
      </c>
      <c r="D22" s="132" t="s">
        <v>1107</v>
      </c>
      <c r="E22" s="133">
        <v>34.5</v>
      </c>
      <c r="F22" s="131" t="s">
        <v>627</v>
      </c>
      <c r="G22" s="131" t="s">
        <v>686</v>
      </c>
      <c r="H22" s="130" t="s">
        <v>1318</v>
      </c>
      <c r="I22" s="134" t="s">
        <v>139</v>
      </c>
      <c r="J22" s="135" t="str">
        <f>IFERROR(VLOOKUP(I22,PRECIOS!$A$2:$C$4333,2,0),"")</f>
        <v>TB</v>
      </c>
      <c r="K22" s="136">
        <f>IFERROR(VLOOKUP(I22,PRECIOS!$A$2:$C$4333,3,0),"0")</f>
        <v>780</v>
      </c>
      <c r="L22" s="137">
        <v>8</v>
      </c>
      <c r="M22" s="136">
        <f t="shared" si="0"/>
        <v>6240</v>
      </c>
      <c r="N22" s="138" t="s">
        <v>707</v>
      </c>
      <c r="O22" s="120" t="s">
        <v>1332</v>
      </c>
    </row>
    <row r="23" spans="1:15" ht="30" customHeight="1">
      <c r="A23" s="130">
        <v>22</v>
      </c>
      <c r="B23" s="130" t="s">
        <v>701</v>
      </c>
      <c r="C23" s="131" t="s">
        <v>54</v>
      </c>
      <c r="D23" s="132" t="s">
        <v>1110</v>
      </c>
      <c r="E23" s="133">
        <v>34.5</v>
      </c>
      <c r="F23" s="131" t="s">
        <v>627</v>
      </c>
      <c r="G23" s="131" t="s">
        <v>686</v>
      </c>
      <c r="H23" s="130" t="s">
        <v>1318</v>
      </c>
      <c r="I23" s="134" t="s">
        <v>139</v>
      </c>
      <c r="J23" s="135" t="str">
        <f>IFERROR(VLOOKUP(I23,PRECIOS!$A$2:$C$4333,2,0),"")</f>
        <v>TB</v>
      </c>
      <c r="K23" s="136">
        <f>IFERROR(VLOOKUP(I23,PRECIOS!$A$2:$C$4333,3,0),"0")</f>
        <v>780</v>
      </c>
      <c r="L23" s="137">
        <v>8</v>
      </c>
      <c r="M23" s="136">
        <f t="shared" si="0"/>
        <v>6240</v>
      </c>
      <c r="N23" s="138" t="s">
        <v>707</v>
      </c>
      <c r="O23" s="120" t="s">
        <v>1332</v>
      </c>
    </row>
    <row r="24" spans="1:15" ht="30" customHeight="1">
      <c r="A24" s="130">
        <v>23</v>
      </c>
      <c r="B24" s="130" t="s">
        <v>701</v>
      </c>
      <c r="C24" s="131" t="s">
        <v>54</v>
      </c>
      <c r="D24" s="132" t="s">
        <v>1096</v>
      </c>
      <c r="E24" s="133">
        <v>34.5</v>
      </c>
      <c r="F24" s="131" t="s">
        <v>673</v>
      </c>
      <c r="G24" s="131" t="s">
        <v>680</v>
      </c>
      <c r="H24" s="130" t="s">
        <v>232</v>
      </c>
      <c r="I24" s="134" t="s">
        <v>233</v>
      </c>
      <c r="J24" s="135" t="str">
        <f>IFERROR(VLOOKUP(I24,PRECIOS!$A$2:$C$4333,2,0),"")</f>
        <v>UND</v>
      </c>
      <c r="K24" s="136">
        <f>IFERROR(VLOOKUP(I24,PRECIOS!$A$2:$C$4333,3,0),"0")</f>
        <v>54000</v>
      </c>
      <c r="L24" s="137">
        <v>1</v>
      </c>
      <c r="M24" s="136">
        <f t="shared" si="0"/>
        <v>54000</v>
      </c>
      <c r="N24" s="138" t="s">
        <v>707</v>
      </c>
      <c r="O24" s="120" t="s">
        <v>1332</v>
      </c>
    </row>
    <row r="25" spans="1:15" ht="30" customHeight="1">
      <c r="A25" s="130">
        <v>24</v>
      </c>
      <c r="B25" s="130" t="s">
        <v>701</v>
      </c>
      <c r="C25" s="131" t="s">
        <v>54</v>
      </c>
      <c r="D25" s="132" t="s">
        <v>1098</v>
      </c>
      <c r="E25" s="133">
        <v>34.5</v>
      </c>
      <c r="F25" s="131" t="s">
        <v>673</v>
      </c>
      <c r="G25" s="131" t="s">
        <v>680</v>
      </c>
      <c r="H25" s="130" t="s">
        <v>232</v>
      </c>
      <c r="I25" s="134" t="s">
        <v>233</v>
      </c>
      <c r="J25" s="135" t="str">
        <f>IFERROR(VLOOKUP(I25,PRECIOS!$A$2:$C$4333,2,0),"")</f>
        <v>UND</v>
      </c>
      <c r="K25" s="136">
        <f>IFERROR(VLOOKUP(I25,PRECIOS!$A$2:$C$4333,3,0),"0")</f>
        <v>54000</v>
      </c>
      <c r="L25" s="137">
        <v>1</v>
      </c>
      <c r="M25" s="136">
        <f t="shared" si="0"/>
        <v>54000</v>
      </c>
      <c r="N25" s="138" t="s">
        <v>707</v>
      </c>
      <c r="O25" s="120" t="s">
        <v>1332</v>
      </c>
    </row>
    <row r="26" spans="1:15" ht="30" customHeight="1">
      <c r="A26" s="130">
        <v>25</v>
      </c>
      <c r="B26" s="130" t="s">
        <v>701</v>
      </c>
      <c r="C26" s="131" t="s">
        <v>54</v>
      </c>
      <c r="D26" s="132" t="s">
        <v>1102</v>
      </c>
      <c r="E26" s="133">
        <v>34.5</v>
      </c>
      <c r="F26" s="131" t="s">
        <v>673</v>
      </c>
      <c r="G26" s="131" t="s">
        <v>680</v>
      </c>
      <c r="H26" s="130" t="s">
        <v>232</v>
      </c>
      <c r="I26" s="134" t="s">
        <v>233</v>
      </c>
      <c r="J26" s="135" t="str">
        <f>IFERROR(VLOOKUP(I26,PRECIOS!$A$2:$C$4333,2,0),"")</f>
        <v>UND</v>
      </c>
      <c r="K26" s="136">
        <f>IFERROR(VLOOKUP(I26,PRECIOS!$A$2:$C$4333,3,0),"0")</f>
        <v>54000</v>
      </c>
      <c r="L26" s="137">
        <v>1</v>
      </c>
      <c r="M26" s="136">
        <f t="shared" si="0"/>
        <v>54000</v>
      </c>
      <c r="N26" s="138" t="s">
        <v>708</v>
      </c>
      <c r="O26" s="120" t="s">
        <v>1332</v>
      </c>
    </row>
    <row r="27" spans="1:15" ht="30" customHeight="1">
      <c r="A27" s="130">
        <v>26</v>
      </c>
      <c r="B27" s="130" t="s">
        <v>701</v>
      </c>
      <c r="C27" s="131" t="s">
        <v>54</v>
      </c>
      <c r="D27" s="132" t="s">
        <v>1107</v>
      </c>
      <c r="E27" s="133">
        <v>34.5</v>
      </c>
      <c r="F27" s="131" t="s">
        <v>673</v>
      </c>
      <c r="G27" s="131" t="s">
        <v>680</v>
      </c>
      <c r="H27" s="130" t="s">
        <v>232</v>
      </c>
      <c r="I27" s="134" t="s">
        <v>233</v>
      </c>
      <c r="J27" s="135" t="str">
        <f>IFERROR(VLOOKUP(I27,PRECIOS!$A$2:$C$4333,2,0),"")</f>
        <v>UND</v>
      </c>
      <c r="K27" s="136">
        <f>IFERROR(VLOOKUP(I27,PRECIOS!$A$2:$C$4333,3,0),"0")</f>
        <v>54000</v>
      </c>
      <c r="L27" s="137">
        <v>1</v>
      </c>
      <c r="M27" s="136">
        <f t="shared" si="0"/>
        <v>54000</v>
      </c>
      <c r="N27" s="138" t="s">
        <v>707</v>
      </c>
      <c r="O27" s="120" t="s">
        <v>1332</v>
      </c>
    </row>
    <row r="28" spans="1:15" ht="30" customHeight="1">
      <c r="A28" s="130">
        <v>27</v>
      </c>
      <c r="B28" s="130" t="s">
        <v>701</v>
      </c>
      <c r="C28" s="131" t="s">
        <v>54</v>
      </c>
      <c r="D28" s="132" t="s">
        <v>1129</v>
      </c>
      <c r="E28" s="133">
        <v>34.5</v>
      </c>
      <c r="F28" s="131" t="s">
        <v>673</v>
      </c>
      <c r="G28" s="131" t="s">
        <v>680</v>
      </c>
      <c r="H28" s="130" t="s">
        <v>232</v>
      </c>
      <c r="I28" s="134" t="s">
        <v>233</v>
      </c>
      <c r="J28" s="135" t="str">
        <f>IFERROR(VLOOKUP(I28,PRECIOS!$A$2:$C$4333,2,0),"")</f>
        <v>UND</v>
      </c>
      <c r="K28" s="136">
        <f>IFERROR(VLOOKUP(I28,PRECIOS!$A$2:$C$4333,3,0),"0")</f>
        <v>54000</v>
      </c>
      <c r="L28" s="137">
        <v>1</v>
      </c>
      <c r="M28" s="136">
        <f t="shared" si="0"/>
        <v>54000</v>
      </c>
      <c r="N28" s="138" t="s">
        <v>707</v>
      </c>
      <c r="O28" s="120" t="s">
        <v>1332</v>
      </c>
    </row>
    <row r="29" spans="1:15" ht="30" customHeight="1">
      <c r="A29" s="130">
        <v>28</v>
      </c>
      <c r="B29" s="130" t="s">
        <v>701</v>
      </c>
      <c r="C29" s="131" t="s">
        <v>54</v>
      </c>
      <c r="D29" s="132" t="s">
        <v>1110</v>
      </c>
      <c r="E29" s="133">
        <v>34.5</v>
      </c>
      <c r="F29" s="131" t="s">
        <v>673</v>
      </c>
      <c r="G29" s="131" t="s">
        <v>680</v>
      </c>
      <c r="H29" s="130" t="s">
        <v>232</v>
      </c>
      <c r="I29" s="134" t="s">
        <v>233</v>
      </c>
      <c r="J29" s="135" t="str">
        <f>IFERROR(VLOOKUP(I29,PRECIOS!$A$2:$C$4333,2,0),"")</f>
        <v>UND</v>
      </c>
      <c r="K29" s="136">
        <f>IFERROR(VLOOKUP(I29,PRECIOS!$A$2:$C$4333,3,0),"0")</f>
        <v>54000</v>
      </c>
      <c r="L29" s="137">
        <v>1</v>
      </c>
      <c r="M29" s="136">
        <f t="shared" si="0"/>
        <v>54000</v>
      </c>
      <c r="N29" s="138" t="s">
        <v>707</v>
      </c>
      <c r="O29" s="120" t="s">
        <v>1332</v>
      </c>
    </row>
    <row r="30" spans="1:15" ht="30" customHeight="1">
      <c r="A30" s="130">
        <v>29</v>
      </c>
      <c r="B30" s="130" t="s">
        <v>701</v>
      </c>
      <c r="C30" s="131" t="s">
        <v>54</v>
      </c>
      <c r="D30" s="132" t="s">
        <v>1112</v>
      </c>
      <c r="E30" s="133">
        <v>34.5</v>
      </c>
      <c r="F30" s="131" t="s">
        <v>673</v>
      </c>
      <c r="G30" s="131" t="s">
        <v>680</v>
      </c>
      <c r="H30" s="130" t="s">
        <v>232</v>
      </c>
      <c r="I30" s="134" t="s">
        <v>233</v>
      </c>
      <c r="J30" s="135" t="str">
        <f>IFERROR(VLOOKUP(I30,PRECIOS!$A$2:$C$4333,2,0),"")</f>
        <v>UND</v>
      </c>
      <c r="K30" s="136">
        <f>IFERROR(VLOOKUP(I30,PRECIOS!$A$2:$C$4333,3,0),"0")</f>
        <v>54000</v>
      </c>
      <c r="L30" s="137">
        <v>1</v>
      </c>
      <c r="M30" s="136">
        <f t="shared" si="0"/>
        <v>54000</v>
      </c>
      <c r="N30" s="138" t="s">
        <v>707</v>
      </c>
      <c r="O30" s="120" t="s">
        <v>1332</v>
      </c>
    </row>
    <row r="31" spans="1:15" ht="30" customHeight="1">
      <c r="A31" s="130">
        <v>30</v>
      </c>
      <c r="B31" s="130" t="s">
        <v>701</v>
      </c>
      <c r="C31" s="131" t="s">
        <v>54</v>
      </c>
      <c r="D31" s="132" t="s">
        <v>1133</v>
      </c>
      <c r="E31" s="133">
        <v>34.5</v>
      </c>
      <c r="F31" s="131" t="s">
        <v>673</v>
      </c>
      <c r="G31" s="131" t="s">
        <v>680</v>
      </c>
      <c r="H31" s="130" t="s">
        <v>232</v>
      </c>
      <c r="I31" s="134" t="s">
        <v>233</v>
      </c>
      <c r="J31" s="135" t="str">
        <f>IFERROR(VLOOKUP(I31,PRECIOS!$A$2:$C$4333,2,0),"")</f>
        <v>UND</v>
      </c>
      <c r="K31" s="136">
        <f>IFERROR(VLOOKUP(I31,PRECIOS!$A$2:$C$4333,3,0),"0")</f>
        <v>54000</v>
      </c>
      <c r="L31" s="137">
        <v>1</v>
      </c>
      <c r="M31" s="136">
        <f t="shared" si="0"/>
        <v>54000</v>
      </c>
      <c r="N31" s="138" t="s">
        <v>707</v>
      </c>
      <c r="O31" s="120" t="s">
        <v>1332</v>
      </c>
    </row>
    <row r="32" spans="1:15" ht="30" customHeight="1">
      <c r="A32" s="130">
        <v>31</v>
      </c>
      <c r="B32" s="130" t="s">
        <v>701</v>
      </c>
      <c r="C32" s="131" t="s">
        <v>54</v>
      </c>
      <c r="D32" s="132" t="s">
        <v>1116</v>
      </c>
      <c r="E32" s="133">
        <v>34.5</v>
      </c>
      <c r="F32" s="131" t="s">
        <v>673</v>
      </c>
      <c r="G32" s="131" t="s">
        <v>680</v>
      </c>
      <c r="H32" s="130" t="s">
        <v>232</v>
      </c>
      <c r="I32" s="134" t="s">
        <v>233</v>
      </c>
      <c r="J32" s="135" t="str">
        <f>IFERROR(VLOOKUP(I32,PRECIOS!$A$2:$C$4333,2,0),"")</f>
        <v>UND</v>
      </c>
      <c r="K32" s="136">
        <f>IFERROR(VLOOKUP(I32,PRECIOS!$A$2:$C$4333,3,0),"0")</f>
        <v>54000</v>
      </c>
      <c r="L32" s="137">
        <v>1</v>
      </c>
      <c r="M32" s="136">
        <f t="shared" si="0"/>
        <v>54000</v>
      </c>
      <c r="N32" s="138" t="s">
        <v>707</v>
      </c>
      <c r="O32" s="120" t="s">
        <v>1332</v>
      </c>
    </row>
    <row r="33" spans="1:15" ht="30" customHeight="1">
      <c r="A33" s="130">
        <v>32</v>
      </c>
      <c r="B33" s="130" t="s">
        <v>701</v>
      </c>
      <c r="C33" s="131" t="s">
        <v>54</v>
      </c>
      <c r="D33" s="132" t="s">
        <v>1118</v>
      </c>
      <c r="E33" s="133">
        <v>34.5</v>
      </c>
      <c r="F33" s="131" t="s">
        <v>673</v>
      </c>
      <c r="G33" s="131" t="s">
        <v>680</v>
      </c>
      <c r="H33" s="130" t="s">
        <v>232</v>
      </c>
      <c r="I33" s="134" t="s">
        <v>233</v>
      </c>
      <c r="J33" s="135" t="str">
        <f>IFERROR(VLOOKUP(I33,PRECIOS!$A$2:$C$4333,2,0),"")</f>
        <v>UND</v>
      </c>
      <c r="K33" s="136">
        <f>IFERROR(VLOOKUP(I33,PRECIOS!$A$2:$C$4333,3,0),"0")</f>
        <v>54000</v>
      </c>
      <c r="L33" s="137">
        <v>1</v>
      </c>
      <c r="M33" s="136">
        <f t="shared" si="0"/>
        <v>54000</v>
      </c>
      <c r="N33" s="138" t="s">
        <v>707</v>
      </c>
      <c r="O33" s="120" t="s">
        <v>1332</v>
      </c>
    </row>
    <row r="34" spans="1:15" ht="30" customHeight="1">
      <c r="A34" s="130">
        <v>33</v>
      </c>
      <c r="B34" s="130" t="s">
        <v>701</v>
      </c>
      <c r="C34" s="131" t="s">
        <v>54</v>
      </c>
      <c r="D34" s="132" t="s">
        <v>1135</v>
      </c>
      <c r="E34" s="133">
        <v>34.5</v>
      </c>
      <c r="F34" s="131" t="s">
        <v>673</v>
      </c>
      <c r="G34" s="131" t="s">
        <v>680</v>
      </c>
      <c r="H34" s="130" t="s">
        <v>232</v>
      </c>
      <c r="I34" s="134" t="s">
        <v>233</v>
      </c>
      <c r="J34" s="135" t="str">
        <f>IFERROR(VLOOKUP(I34,PRECIOS!$A$2:$C$4333,2,0),"")</f>
        <v>UND</v>
      </c>
      <c r="K34" s="136">
        <f>IFERROR(VLOOKUP(I34,PRECIOS!$A$2:$C$4333,3,0),"0")</f>
        <v>54000</v>
      </c>
      <c r="L34" s="137">
        <v>1</v>
      </c>
      <c r="M34" s="136">
        <f t="shared" ref="M34:M54" si="1">+K34*L34</f>
        <v>54000</v>
      </c>
      <c r="N34" s="138" t="s">
        <v>707</v>
      </c>
      <c r="O34" s="120" t="s">
        <v>1332</v>
      </c>
    </row>
    <row r="35" spans="1:15" ht="30" customHeight="1">
      <c r="A35" s="130">
        <v>34</v>
      </c>
      <c r="B35" s="130" t="s">
        <v>701</v>
      </c>
      <c r="C35" s="131" t="s">
        <v>54</v>
      </c>
      <c r="D35" s="132" t="s">
        <v>1136</v>
      </c>
      <c r="E35" s="133">
        <v>34.5</v>
      </c>
      <c r="F35" s="131" t="s">
        <v>673</v>
      </c>
      <c r="G35" s="131" t="s">
        <v>680</v>
      </c>
      <c r="H35" s="130" t="s">
        <v>232</v>
      </c>
      <c r="I35" s="134" t="s">
        <v>233</v>
      </c>
      <c r="J35" s="135" t="str">
        <f>IFERROR(VLOOKUP(I35,PRECIOS!$A$2:$C$4333,2,0),"")</f>
        <v>UND</v>
      </c>
      <c r="K35" s="136">
        <f>IFERROR(VLOOKUP(I35,PRECIOS!$A$2:$C$4333,3,0),"0")</f>
        <v>54000</v>
      </c>
      <c r="L35" s="137">
        <v>1</v>
      </c>
      <c r="M35" s="136">
        <f t="shared" si="1"/>
        <v>54000</v>
      </c>
      <c r="N35" s="138" t="s">
        <v>707</v>
      </c>
      <c r="O35" s="120" t="s">
        <v>1332</v>
      </c>
    </row>
    <row r="36" spans="1:15" ht="30" customHeight="1">
      <c r="A36" s="130">
        <v>35</v>
      </c>
      <c r="B36" s="130" t="s">
        <v>701</v>
      </c>
      <c r="C36" s="131" t="s">
        <v>54</v>
      </c>
      <c r="D36" s="132" t="s">
        <v>1137</v>
      </c>
      <c r="E36" s="133">
        <v>34.5</v>
      </c>
      <c r="F36" s="131" t="s">
        <v>673</v>
      </c>
      <c r="G36" s="131" t="s">
        <v>680</v>
      </c>
      <c r="H36" s="130" t="s">
        <v>232</v>
      </c>
      <c r="I36" s="134" t="s">
        <v>233</v>
      </c>
      <c r="J36" s="135" t="str">
        <f>IFERROR(VLOOKUP(I36,PRECIOS!$A$2:$C$4333,2,0),"")</f>
        <v>UND</v>
      </c>
      <c r="K36" s="136">
        <f>IFERROR(VLOOKUP(I36,PRECIOS!$A$2:$C$4333,3,0),"0")</f>
        <v>54000</v>
      </c>
      <c r="L36" s="137">
        <v>1</v>
      </c>
      <c r="M36" s="136">
        <f t="shared" si="1"/>
        <v>54000</v>
      </c>
      <c r="N36" s="138" t="s">
        <v>707</v>
      </c>
      <c r="O36" s="120" t="s">
        <v>1332</v>
      </c>
    </row>
    <row r="37" spans="1:15" ht="30" customHeight="1">
      <c r="A37" s="130">
        <v>36</v>
      </c>
      <c r="B37" s="130" t="s">
        <v>701</v>
      </c>
      <c r="C37" s="131" t="s">
        <v>54</v>
      </c>
      <c r="D37" s="132" t="s">
        <v>1137</v>
      </c>
      <c r="E37" s="133">
        <v>34.5</v>
      </c>
      <c r="F37" s="131" t="s">
        <v>673</v>
      </c>
      <c r="G37" s="131" t="s">
        <v>680</v>
      </c>
      <c r="H37" s="130" t="s">
        <v>232</v>
      </c>
      <c r="I37" s="134" t="s">
        <v>233</v>
      </c>
      <c r="J37" s="135" t="str">
        <f>IFERROR(VLOOKUP(I37,PRECIOS!$A$2:$C$4333,2,0),"")</f>
        <v>UND</v>
      </c>
      <c r="K37" s="136">
        <f>IFERROR(VLOOKUP(I37,PRECIOS!$A$2:$C$4333,3,0),"0")</f>
        <v>54000</v>
      </c>
      <c r="L37" s="137">
        <v>1</v>
      </c>
      <c r="M37" s="136">
        <f t="shared" si="1"/>
        <v>54000</v>
      </c>
      <c r="N37" s="138" t="s">
        <v>707</v>
      </c>
      <c r="O37" s="120" t="s">
        <v>1332</v>
      </c>
    </row>
    <row r="38" spans="1:15" ht="30" customHeight="1">
      <c r="A38" s="130">
        <v>37</v>
      </c>
      <c r="B38" s="130" t="s">
        <v>701</v>
      </c>
      <c r="C38" s="131" t="s">
        <v>54</v>
      </c>
      <c r="D38" s="132" t="s">
        <v>1121</v>
      </c>
      <c r="E38" s="133">
        <v>34.5</v>
      </c>
      <c r="F38" s="131" t="s">
        <v>673</v>
      </c>
      <c r="G38" s="131" t="s">
        <v>680</v>
      </c>
      <c r="H38" s="130" t="s">
        <v>232</v>
      </c>
      <c r="I38" s="134" t="s">
        <v>233</v>
      </c>
      <c r="J38" s="135" t="str">
        <f>IFERROR(VLOOKUP(I38,PRECIOS!$A$2:$C$4333,2,0),"")</f>
        <v>UND</v>
      </c>
      <c r="K38" s="136">
        <f>IFERROR(VLOOKUP(I38,PRECIOS!$A$2:$C$4333,3,0),"0")</f>
        <v>54000</v>
      </c>
      <c r="L38" s="137">
        <v>1</v>
      </c>
      <c r="M38" s="136">
        <f t="shared" si="1"/>
        <v>54000</v>
      </c>
      <c r="N38" s="138" t="s">
        <v>707</v>
      </c>
      <c r="O38" s="120" t="s">
        <v>1332</v>
      </c>
    </row>
    <row r="39" spans="1:15" ht="30" customHeight="1">
      <c r="A39" s="130">
        <v>38</v>
      </c>
      <c r="B39" s="130" t="s">
        <v>701</v>
      </c>
      <c r="C39" s="131" t="s">
        <v>54</v>
      </c>
      <c r="D39" s="132" t="s">
        <v>1124</v>
      </c>
      <c r="E39" s="133">
        <v>34.5</v>
      </c>
      <c r="F39" s="131" t="s">
        <v>673</v>
      </c>
      <c r="G39" s="131" t="s">
        <v>680</v>
      </c>
      <c r="H39" s="130" t="s">
        <v>232</v>
      </c>
      <c r="I39" s="134" t="s">
        <v>233</v>
      </c>
      <c r="J39" s="135" t="str">
        <f>IFERROR(VLOOKUP(I39,PRECIOS!$A$2:$C$4333,2,0),"")</f>
        <v>UND</v>
      </c>
      <c r="K39" s="136">
        <f>IFERROR(VLOOKUP(I39,PRECIOS!$A$2:$C$4333,3,0),"0")</f>
        <v>54000</v>
      </c>
      <c r="L39" s="137">
        <v>1</v>
      </c>
      <c r="M39" s="136">
        <f t="shared" si="1"/>
        <v>54000</v>
      </c>
      <c r="N39" s="138" t="s">
        <v>707</v>
      </c>
      <c r="O39" s="120" t="s">
        <v>1332</v>
      </c>
    </row>
    <row r="40" spans="1:15" ht="30" customHeight="1">
      <c r="A40" s="130">
        <v>39</v>
      </c>
      <c r="B40" s="130" t="s">
        <v>701</v>
      </c>
      <c r="C40" s="131" t="s">
        <v>54</v>
      </c>
      <c r="D40" s="132" t="s">
        <v>1126</v>
      </c>
      <c r="E40" s="133">
        <v>34.5</v>
      </c>
      <c r="F40" s="131" t="s">
        <v>673</v>
      </c>
      <c r="G40" s="131" t="s">
        <v>680</v>
      </c>
      <c r="H40" s="130" t="s">
        <v>232</v>
      </c>
      <c r="I40" s="134" t="s">
        <v>233</v>
      </c>
      <c r="J40" s="135" t="str">
        <f>IFERROR(VLOOKUP(I40,PRECIOS!$A$2:$C$4333,2,0),"")</f>
        <v>UND</v>
      </c>
      <c r="K40" s="136">
        <f>IFERROR(VLOOKUP(I40,PRECIOS!$A$2:$C$4333,3,0),"0")</f>
        <v>54000</v>
      </c>
      <c r="L40" s="137">
        <v>1</v>
      </c>
      <c r="M40" s="136">
        <f t="shared" si="1"/>
        <v>54000</v>
      </c>
      <c r="N40" s="138" t="s">
        <v>707</v>
      </c>
      <c r="O40" s="120" t="s">
        <v>1332</v>
      </c>
    </row>
    <row r="41" spans="1:15" ht="30" customHeight="1">
      <c r="A41" s="130">
        <v>40</v>
      </c>
      <c r="B41" s="130" t="s">
        <v>701</v>
      </c>
      <c r="C41" s="131" t="s">
        <v>54</v>
      </c>
      <c r="D41" s="132" t="s">
        <v>1124</v>
      </c>
      <c r="E41" s="133">
        <v>34.5</v>
      </c>
      <c r="F41" s="131" t="s">
        <v>627</v>
      </c>
      <c r="G41" s="131" t="s">
        <v>660</v>
      </c>
      <c r="H41" s="130" t="s">
        <v>1053</v>
      </c>
      <c r="I41" s="134" t="s">
        <v>1062</v>
      </c>
      <c r="J41" s="135" t="str">
        <f>IFERROR(VLOOKUP(I41,PRECIOS!$A$2:$C$4333,2,0),"")</f>
        <v>UND</v>
      </c>
      <c r="K41" s="136">
        <f>IFERROR(VLOOKUP(I41,PRECIOS!$A$2:$C$4333,3,0),"0")</f>
        <v>210000</v>
      </c>
      <c r="L41" s="137">
        <v>1</v>
      </c>
      <c r="M41" s="136">
        <f t="shared" si="1"/>
        <v>210000</v>
      </c>
      <c r="N41" s="138" t="s">
        <v>707</v>
      </c>
      <c r="O41" s="120" t="s">
        <v>1333</v>
      </c>
    </row>
    <row r="42" spans="1:15" ht="30" customHeight="1">
      <c r="A42" s="130">
        <v>41</v>
      </c>
      <c r="B42" s="130" t="s">
        <v>701</v>
      </c>
      <c r="C42" s="131" t="s">
        <v>54</v>
      </c>
      <c r="D42" s="132" t="s">
        <v>1121</v>
      </c>
      <c r="E42" s="133">
        <v>34.5</v>
      </c>
      <c r="F42" s="131" t="s">
        <v>627</v>
      </c>
      <c r="G42" s="131" t="s">
        <v>660</v>
      </c>
      <c r="H42" s="130" t="s">
        <v>1053</v>
      </c>
      <c r="I42" s="134" t="s">
        <v>1062</v>
      </c>
      <c r="J42" s="135" t="str">
        <f>IFERROR(VLOOKUP(I42,PRECIOS!$A$2:$C$4333,2,0),"")</f>
        <v>UND</v>
      </c>
      <c r="K42" s="136">
        <f>IFERROR(VLOOKUP(I42,PRECIOS!$A$2:$C$4333,3,0),"0")</f>
        <v>210000</v>
      </c>
      <c r="L42" s="137">
        <v>1</v>
      </c>
      <c r="M42" s="136">
        <f t="shared" si="1"/>
        <v>210000</v>
      </c>
      <c r="N42" s="138" t="s">
        <v>707</v>
      </c>
      <c r="O42" s="120" t="s">
        <v>1333</v>
      </c>
    </row>
    <row r="43" spans="1:15" ht="30" customHeight="1">
      <c r="A43" s="130">
        <v>42</v>
      </c>
      <c r="B43" s="130" t="s">
        <v>701</v>
      </c>
      <c r="C43" s="131" t="s">
        <v>54</v>
      </c>
      <c r="D43" s="132" t="s">
        <v>1118</v>
      </c>
      <c r="E43" s="133">
        <v>34.5</v>
      </c>
      <c r="F43" s="131" t="s">
        <v>697</v>
      </c>
      <c r="G43" s="131" t="s">
        <v>1041</v>
      </c>
      <c r="H43" s="130" t="s">
        <v>230</v>
      </c>
      <c r="I43" s="134" t="s">
        <v>231</v>
      </c>
      <c r="J43" s="135" t="str">
        <f>IFERROR(VLOOKUP(I43,PRECIOS!$A$2:$C$4333,2,0),"")</f>
        <v>UND</v>
      </c>
      <c r="K43" s="136">
        <f>IFERROR(VLOOKUP(I43,PRECIOS!$A$2:$C$4333,3,0),"0")</f>
        <v>10908</v>
      </c>
      <c r="L43" s="137">
        <v>1</v>
      </c>
      <c r="M43" s="136">
        <f t="shared" si="1"/>
        <v>10908</v>
      </c>
      <c r="N43" s="138" t="s">
        <v>708</v>
      </c>
      <c r="O43" s="120" t="s">
        <v>1332</v>
      </c>
    </row>
    <row r="44" spans="1:15" ht="30" customHeight="1">
      <c r="A44" s="130">
        <v>43</v>
      </c>
      <c r="B44" s="130" t="s">
        <v>701</v>
      </c>
      <c r="C44" s="131" t="s">
        <v>54</v>
      </c>
      <c r="D44" s="132" t="s">
        <v>1112</v>
      </c>
      <c r="E44" s="133">
        <v>34.5</v>
      </c>
      <c r="F44" s="131" t="s">
        <v>697</v>
      </c>
      <c r="G44" s="131" t="s">
        <v>1041</v>
      </c>
      <c r="H44" s="130" t="s">
        <v>230</v>
      </c>
      <c r="I44" s="134" t="s">
        <v>231</v>
      </c>
      <c r="J44" s="135" t="str">
        <f>IFERROR(VLOOKUP(I44,PRECIOS!$A$2:$C$4333,2,0),"")</f>
        <v>UND</v>
      </c>
      <c r="K44" s="136">
        <f>IFERROR(VLOOKUP(I44,PRECIOS!$A$2:$C$4333,3,0),"0")</f>
        <v>10908</v>
      </c>
      <c r="L44" s="137">
        <v>1</v>
      </c>
      <c r="M44" s="136">
        <f t="shared" si="1"/>
        <v>10908</v>
      </c>
      <c r="N44" s="138" t="s">
        <v>708</v>
      </c>
      <c r="O44" s="120" t="s">
        <v>1332</v>
      </c>
    </row>
    <row r="45" spans="1:15" ht="30" customHeight="1">
      <c r="A45" s="130">
        <v>44</v>
      </c>
      <c r="B45" s="130" t="s">
        <v>701</v>
      </c>
      <c r="C45" s="131" t="s">
        <v>54</v>
      </c>
      <c r="D45" s="132" t="s">
        <v>1145</v>
      </c>
      <c r="E45" s="133">
        <v>115</v>
      </c>
      <c r="F45" s="131" t="s">
        <v>673</v>
      </c>
      <c r="G45" s="131" t="s">
        <v>685</v>
      </c>
      <c r="H45" s="130" t="s">
        <v>232</v>
      </c>
      <c r="I45" s="134" t="s">
        <v>235</v>
      </c>
      <c r="J45" s="135" t="str">
        <f>IFERROR(VLOOKUP(I45,PRECIOS!$A$2:$C$4333,2,0),"")</f>
        <v>UND</v>
      </c>
      <c r="K45" s="136">
        <f>IFERROR(VLOOKUP(I45,PRECIOS!$A$2:$C$4333,3,0),"0")</f>
        <v>54000</v>
      </c>
      <c r="L45" s="137">
        <v>1</v>
      </c>
      <c r="M45" s="136">
        <f t="shared" si="1"/>
        <v>54000</v>
      </c>
      <c r="N45" s="138" t="s">
        <v>708</v>
      </c>
      <c r="O45" s="120" t="s">
        <v>1332</v>
      </c>
    </row>
    <row r="46" spans="1:15" ht="30" customHeight="1">
      <c r="A46" s="130">
        <v>45</v>
      </c>
      <c r="B46" s="130" t="s">
        <v>701</v>
      </c>
      <c r="C46" s="131" t="s">
        <v>54</v>
      </c>
      <c r="D46" s="132" t="s">
        <v>1149</v>
      </c>
      <c r="E46" s="133">
        <v>115</v>
      </c>
      <c r="F46" s="131" t="s">
        <v>673</v>
      </c>
      <c r="G46" s="131" t="s">
        <v>685</v>
      </c>
      <c r="H46" s="130" t="s">
        <v>232</v>
      </c>
      <c r="I46" s="134" t="s">
        <v>235</v>
      </c>
      <c r="J46" s="135" t="str">
        <f>IFERROR(VLOOKUP(I46,PRECIOS!$A$2:$C$4333,2,0),"")</f>
        <v>UND</v>
      </c>
      <c r="K46" s="136">
        <f>IFERROR(VLOOKUP(I46,PRECIOS!$A$2:$C$4333,3,0),"0")</f>
        <v>54000</v>
      </c>
      <c r="L46" s="137">
        <v>1</v>
      </c>
      <c r="M46" s="136">
        <f t="shared" si="1"/>
        <v>54000</v>
      </c>
      <c r="N46" s="138" t="s">
        <v>707</v>
      </c>
      <c r="O46" s="120" t="s">
        <v>1332</v>
      </c>
    </row>
    <row r="47" spans="1:15" ht="30" customHeight="1">
      <c r="A47" s="130">
        <v>46</v>
      </c>
      <c r="B47" s="130" t="s">
        <v>701</v>
      </c>
      <c r="C47" s="131" t="s">
        <v>54</v>
      </c>
      <c r="D47" s="132" t="s">
        <v>1153</v>
      </c>
      <c r="E47" s="133">
        <v>115</v>
      </c>
      <c r="F47" s="131" t="s">
        <v>673</v>
      </c>
      <c r="G47" s="131" t="s">
        <v>685</v>
      </c>
      <c r="H47" s="130" t="s">
        <v>232</v>
      </c>
      <c r="I47" s="134" t="s">
        <v>234</v>
      </c>
      <c r="J47" s="135" t="str">
        <f>IFERROR(VLOOKUP(I47,PRECIOS!$A$2:$C$4333,2,0),"")</f>
        <v>UND</v>
      </c>
      <c r="K47" s="136">
        <f>IFERROR(VLOOKUP(I47,PRECIOS!$A$2:$C$4333,3,0),"0")</f>
        <v>58000</v>
      </c>
      <c r="L47" s="137">
        <v>1</v>
      </c>
      <c r="M47" s="136">
        <f t="shared" si="1"/>
        <v>58000</v>
      </c>
      <c r="N47" s="138" t="s">
        <v>707</v>
      </c>
      <c r="O47" s="120" t="s">
        <v>1332</v>
      </c>
    </row>
    <row r="48" spans="1:15" ht="30" customHeight="1">
      <c r="A48" s="130">
        <v>47</v>
      </c>
      <c r="B48" s="130" t="s">
        <v>701</v>
      </c>
      <c r="C48" s="131" t="s">
        <v>54</v>
      </c>
      <c r="D48" s="132" t="s">
        <v>1096</v>
      </c>
      <c r="E48" s="133">
        <v>34.5</v>
      </c>
      <c r="F48" s="131" t="s">
        <v>697</v>
      </c>
      <c r="G48" s="131" t="s">
        <v>1041</v>
      </c>
      <c r="H48" s="130" t="s">
        <v>230</v>
      </c>
      <c r="I48" s="134" t="s">
        <v>231</v>
      </c>
      <c r="J48" s="135" t="str">
        <f>IFERROR(VLOOKUP(I48,PRECIOS!$A$2:$C$4333,2,0),"")</f>
        <v>UND</v>
      </c>
      <c r="K48" s="136">
        <f>IFERROR(VLOOKUP(I48,PRECIOS!$A$2:$C$4333,3,0),"0")</f>
        <v>10908</v>
      </c>
      <c r="L48" s="137">
        <v>1</v>
      </c>
      <c r="M48" s="136">
        <f t="shared" si="1"/>
        <v>10908</v>
      </c>
      <c r="N48" s="138" t="s">
        <v>707</v>
      </c>
      <c r="O48" s="120" t="s">
        <v>1332</v>
      </c>
    </row>
    <row r="49" spans="1:15" ht="30" customHeight="1">
      <c r="A49" s="130">
        <v>48</v>
      </c>
      <c r="B49" s="130" t="s">
        <v>701</v>
      </c>
      <c r="C49" s="131" t="s">
        <v>54</v>
      </c>
      <c r="D49" s="132" t="s">
        <v>1102</v>
      </c>
      <c r="E49" s="133">
        <v>34.5</v>
      </c>
      <c r="F49" s="131" t="s">
        <v>673</v>
      </c>
      <c r="G49" s="131" t="s">
        <v>680</v>
      </c>
      <c r="H49" s="130" t="s">
        <v>232</v>
      </c>
      <c r="I49" s="134" t="s">
        <v>233</v>
      </c>
      <c r="J49" s="135" t="str">
        <f>IFERROR(VLOOKUP(I49,PRECIOS!$A$2:$C$4333,2,0),"")</f>
        <v>UND</v>
      </c>
      <c r="K49" s="136">
        <f>IFERROR(VLOOKUP(I49,PRECIOS!$A$2:$C$4333,3,0),"0")</f>
        <v>54000</v>
      </c>
      <c r="L49" s="137">
        <v>1</v>
      </c>
      <c r="M49" s="136">
        <f t="shared" si="1"/>
        <v>54000</v>
      </c>
      <c r="N49" s="138" t="s">
        <v>707</v>
      </c>
      <c r="O49" s="120" t="s">
        <v>1332</v>
      </c>
    </row>
    <row r="50" spans="1:15" ht="30" customHeight="1">
      <c r="A50" s="130">
        <v>49</v>
      </c>
      <c r="B50" s="130" t="s">
        <v>701</v>
      </c>
      <c r="C50" s="131" t="s">
        <v>54</v>
      </c>
      <c r="D50" s="132" t="s">
        <v>1133</v>
      </c>
      <c r="E50" s="133">
        <v>34.5</v>
      </c>
      <c r="F50" s="131" t="s">
        <v>697</v>
      </c>
      <c r="G50" s="131" t="s">
        <v>1041</v>
      </c>
      <c r="H50" s="130" t="s">
        <v>230</v>
      </c>
      <c r="I50" s="134" t="s">
        <v>231</v>
      </c>
      <c r="J50" s="135" t="str">
        <f>IFERROR(VLOOKUP(I50,PRECIOS!$A$2:$C$4333,2,0),"")</f>
        <v>UND</v>
      </c>
      <c r="K50" s="136">
        <f>IFERROR(VLOOKUP(I50,PRECIOS!$A$2:$C$4333,3,0),"0")</f>
        <v>10908</v>
      </c>
      <c r="L50" s="137">
        <v>1</v>
      </c>
      <c r="M50" s="136">
        <f t="shared" si="1"/>
        <v>10908</v>
      </c>
      <c r="N50" s="138" t="s">
        <v>708</v>
      </c>
      <c r="O50" s="120" t="s">
        <v>1332</v>
      </c>
    </row>
    <row r="51" spans="1:15" ht="30" customHeight="1">
      <c r="A51" s="130">
        <v>50</v>
      </c>
      <c r="B51" s="130" t="s">
        <v>701</v>
      </c>
      <c r="C51" s="131" t="s">
        <v>54</v>
      </c>
      <c r="D51" s="132" t="s">
        <v>1133</v>
      </c>
      <c r="E51" s="133">
        <v>34.5</v>
      </c>
      <c r="F51" s="131" t="s">
        <v>697</v>
      </c>
      <c r="G51" s="131" t="s">
        <v>1041</v>
      </c>
      <c r="H51" s="130" t="s">
        <v>230</v>
      </c>
      <c r="I51" s="134" t="s">
        <v>231</v>
      </c>
      <c r="J51" s="135" t="str">
        <f>IFERROR(VLOOKUP(I51,PRECIOS!$A$2:$C$4333,2,0),"")</f>
        <v>UND</v>
      </c>
      <c r="K51" s="136">
        <f>IFERROR(VLOOKUP(I51,PRECIOS!$A$2:$C$4333,3,0),"0")</f>
        <v>10908</v>
      </c>
      <c r="L51" s="137">
        <v>1</v>
      </c>
      <c r="M51" s="136">
        <f t="shared" si="1"/>
        <v>10908</v>
      </c>
      <c r="N51" s="138" t="s">
        <v>708</v>
      </c>
      <c r="O51" s="120" t="s">
        <v>1332</v>
      </c>
    </row>
    <row r="52" spans="1:15" ht="30" customHeight="1">
      <c r="A52" s="130">
        <v>51</v>
      </c>
      <c r="B52" s="130" t="s">
        <v>701</v>
      </c>
      <c r="C52" s="131" t="s">
        <v>54</v>
      </c>
      <c r="D52" s="132" t="s">
        <v>1133</v>
      </c>
      <c r="E52" s="133">
        <v>34.5</v>
      </c>
      <c r="F52" s="131" t="s">
        <v>697</v>
      </c>
      <c r="G52" s="131" t="s">
        <v>1041</v>
      </c>
      <c r="H52" s="130" t="s">
        <v>230</v>
      </c>
      <c r="I52" s="134" t="s">
        <v>231</v>
      </c>
      <c r="J52" s="135" t="str">
        <f>IFERROR(VLOOKUP(I52,PRECIOS!$A$2:$C$4333,2,0),"")</f>
        <v>UND</v>
      </c>
      <c r="K52" s="136">
        <f>IFERROR(VLOOKUP(I52,PRECIOS!$A$2:$C$4333,3,0),"0")</f>
        <v>10908</v>
      </c>
      <c r="L52" s="137">
        <v>1</v>
      </c>
      <c r="M52" s="136">
        <f t="shared" si="1"/>
        <v>10908</v>
      </c>
      <c r="N52" s="138" t="s">
        <v>708</v>
      </c>
      <c r="O52" s="120" t="s">
        <v>1332</v>
      </c>
    </row>
    <row r="53" spans="1:15" ht="30" customHeight="1">
      <c r="A53" s="130">
        <v>52</v>
      </c>
      <c r="B53" s="130" t="s">
        <v>701</v>
      </c>
      <c r="C53" s="131" t="s">
        <v>54</v>
      </c>
      <c r="D53" s="132" t="s">
        <v>1102</v>
      </c>
      <c r="E53" s="133">
        <v>34.5</v>
      </c>
      <c r="F53" s="131" t="s">
        <v>697</v>
      </c>
      <c r="G53" s="131" t="s">
        <v>1041</v>
      </c>
      <c r="H53" s="130" t="s">
        <v>230</v>
      </c>
      <c r="I53" s="134" t="s">
        <v>231</v>
      </c>
      <c r="J53" s="135" t="str">
        <f>IFERROR(VLOOKUP(I53,PRECIOS!$A$2:$C$4333,2,0),"")</f>
        <v>UND</v>
      </c>
      <c r="K53" s="136">
        <f>IFERROR(VLOOKUP(I53,PRECIOS!$A$2:$C$4333,3,0),"0")</f>
        <v>10908</v>
      </c>
      <c r="L53" s="137">
        <v>1</v>
      </c>
      <c r="M53" s="136">
        <f t="shared" si="1"/>
        <v>10908</v>
      </c>
      <c r="N53" s="138" t="s">
        <v>708</v>
      </c>
      <c r="O53" s="120" t="s">
        <v>1332</v>
      </c>
    </row>
    <row r="54" spans="1:15" ht="30" customHeight="1">
      <c r="A54" s="130">
        <v>53</v>
      </c>
      <c r="B54" s="130" t="s">
        <v>701</v>
      </c>
      <c r="C54" s="131" t="s">
        <v>54</v>
      </c>
      <c r="D54" s="132" t="s">
        <v>1121</v>
      </c>
      <c r="E54" s="133">
        <v>34.5</v>
      </c>
      <c r="F54" s="131" t="s">
        <v>697</v>
      </c>
      <c r="G54" s="131" t="s">
        <v>1041</v>
      </c>
      <c r="H54" s="130" t="s">
        <v>230</v>
      </c>
      <c r="I54" s="134" t="s">
        <v>231</v>
      </c>
      <c r="J54" s="135" t="str">
        <f>IFERROR(VLOOKUP(I54,PRECIOS!$A$2:$C$4333,2,0),"")</f>
        <v>UND</v>
      </c>
      <c r="K54" s="136">
        <f>IFERROR(VLOOKUP(I54,PRECIOS!$A$2:$C$4333,3,0),"0")</f>
        <v>10908</v>
      </c>
      <c r="L54" s="137">
        <v>1</v>
      </c>
      <c r="M54" s="136">
        <f t="shared" si="1"/>
        <v>10908</v>
      </c>
      <c r="N54" s="138" t="s">
        <v>707</v>
      </c>
      <c r="O54" s="120" t="s">
        <v>1332</v>
      </c>
    </row>
  </sheetData>
  <sortState xmlns:xlrd2="http://schemas.microsoft.com/office/spreadsheetml/2017/richdata2" ref="A2:O49">
    <sortCondition ref="A2"/>
  </sortState>
  <dataValidations count="8">
    <dataValidation type="list" allowBlank="1" showInputMessage="1" showErrorMessage="1" sqref="G2:G47 G50:G52" xr:uid="{00000000-0002-0000-0100-000000000000}">
      <formula1>INDIRECT(F2)</formula1>
    </dataValidation>
    <dataValidation type="list" allowBlank="1" showErrorMessage="1" sqref="C2:C47" xr:uid="{00000000-0002-0000-0100-000001000000}">
      <formula1>INDIRECT(B2)</formula1>
    </dataValidation>
    <dataValidation type="list" allowBlank="1" showErrorMessage="1" sqref="H2:H47 H50:H54" xr:uid="{00000000-0002-0000-0100-000002000000}">
      <formula1>FAMILIAS</formula1>
      <formula2>0</formula2>
    </dataValidation>
    <dataValidation type="list" allowBlank="1" showInputMessage="1" showErrorMessage="1" sqref="N2:N47 N50:N54" xr:uid="{00000000-0002-0000-0100-000003000000}">
      <formula1>ESTATUS</formula1>
    </dataValidation>
    <dataValidation type="list" allowBlank="1" showInputMessage="1" showErrorMessage="1" sqref="F2:F47" xr:uid="{00000000-0002-0000-0100-000004000000}">
      <formula1>COMPONENTES</formula1>
    </dataValidation>
    <dataValidation type="list" allowBlank="1" showInputMessage="1" showErrorMessage="1" sqref="E2:E47" xr:uid="{00000000-0002-0000-0100-000005000000}">
      <formula1>TENSIONSUBESTACION</formula1>
    </dataValidation>
    <dataValidation type="list" allowBlank="1" showInputMessage="1" showErrorMessage="1" sqref="B2:B47" xr:uid="{00000000-0002-0000-0100-000006000000}">
      <formula1>REGION</formula1>
    </dataValidation>
    <dataValidation type="list" allowBlank="1" showInputMessage="1" showErrorMessage="1" sqref="O2:O54" xr:uid="{00000000-0002-0000-0100-000007000000}">
      <formula1>"ALTA,MEDIA,BAJA"</formula1>
    </dataValidation>
  </dataValidation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X22"/>
  <sheetViews>
    <sheetView topLeftCell="AA1" zoomScaleSheetLayoutView="70" workbookViewId="0">
      <selection activeCell="AU4" sqref="AU4"/>
    </sheetView>
  </sheetViews>
  <sheetFormatPr baseColWidth="10" defaultColWidth="8.88671875" defaultRowHeight="14.4"/>
  <cols>
    <col min="1" max="1" width="39.44140625" customWidth="1"/>
    <col min="2" max="2" width="11.44140625" customWidth="1"/>
    <col min="3" max="3" width="18.33203125" customWidth="1"/>
    <col min="4" max="4" width="11.44140625" customWidth="1"/>
    <col min="5" max="5" width="28" customWidth="1"/>
    <col min="6" max="6" width="16.44140625" customWidth="1"/>
    <col min="7" max="7" width="23.44140625" customWidth="1"/>
    <col min="8" max="8" width="18.6640625" customWidth="1"/>
    <col min="9" max="9" width="17.5546875" customWidth="1"/>
    <col min="10" max="10" width="16.5546875" customWidth="1"/>
    <col min="11" max="11" width="20" customWidth="1"/>
    <col min="12" max="12" width="22.6640625" customWidth="1"/>
    <col min="13" max="13" width="19.6640625" customWidth="1"/>
    <col min="14" max="14" width="37.44140625" customWidth="1"/>
    <col min="15" max="17" width="11.44140625" customWidth="1"/>
    <col min="18" max="18" width="24.6640625" customWidth="1"/>
    <col min="19" max="19" width="11.44140625" customWidth="1"/>
    <col min="20" max="20" width="20.33203125" customWidth="1"/>
    <col min="21" max="21" width="11.44140625" customWidth="1"/>
    <col min="22" max="22" width="38.5546875" bestFit="1" customWidth="1"/>
    <col min="23" max="23" width="11.44140625" customWidth="1"/>
    <col min="24" max="24" width="35.109375" customWidth="1"/>
    <col min="25" max="25" width="34.88671875" customWidth="1"/>
    <col min="26" max="26" width="44.6640625" bestFit="1" customWidth="1"/>
    <col min="27" max="27" width="58.88671875" bestFit="1" customWidth="1"/>
    <col min="28" max="28" width="37.33203125" bestFit="1" customWidth="1"/>
    <col min="29" max="29" width="32.44140625" customWidth="1"/>
    <col min="30" max="31" width="57.88671875" bestFit="1" customWidth="1"/>
    <col min="32" max="32" width="35.33203125" customWidth="1"/>
    <col min="33" max="33" width="34.5546875" bestFit="1" customWidth="1"/>
    <col min="34" max="34" width="43.109375" customWidth="1"/>
    <col min="35" max="35" width="33" customWidth="1"/>
    <col min="36" max="36" width="33.33203125" customWidth="1"/>
    <col min="37" max="37" width="33" bestFit="1" customWidth="1"/>
    <col min="38" max="38" width="11.44140625" customWidth="1"/>
    <col min="39" max="39" width="27.6640625" customWidth="1"/>
    <col min="40" max="40" width="33.109375" customWidth="1"/>
    <col min="41" max="41" width="35.109375" bestFit="1" customWidth="1"/>
    <col min="42" max="42" width="31.33203125" bestFit="1" customWidth="1"/>
    <col min="43" max="43" width="31.5546875" customWidth="1"/>
    <col min="44" max="47" width="40.33203125" customWidth="1"/>
    <col min="48" max="48" width="46.6640625" bestFit="1" customWidth="1"/>
    <col min="49" max="49" width="11.44140625" customWidth="1"/>
    <col min="50" max="50" width="18.6640625" customWidth="1"/>
    <col min="51" max="259" width="11.44140625" customWidth="1"/>
  </cols>
  <sheetData>
    <row r="1" spans="1:50" ht="18" customHeight="1" thickBot="1">
      <c r="A1" s="2" t="s">
        <v>28</v>
      </c>
      <c r="C1" t="s">
        <v>698</v>
      </c>
      <c r="E1" s="30" t="s">
        <v>35</v>
      </c>
      <c r="F1" s="31" t="s">
        <v>699</v>
      </c>
      <c r="G1" s="31" t="s">
        <v>700</v>
      </c>
      <c r="H1" s="31" t="s">
        <v>701</v>
      </c>
      <c r="I1" s="31" t="s">
        <v>702</v>
      </c>
      <c r="J1" s="31" t="s">
        <v>703</v>
      </c>
      <c r="K1" s="31" t="s">
        <v>704</v>
      </c>
      <c r="L1" s="31" t="s">
        <v>705</v>
      </c>
      <c r="N1" s="2" t="s">
        <v>60</v>
      </c>
      <c r="P1" s="2" t="s">
        <v>5</v>
      </c>
      <c r="R1" s="70" t="s">
        <v>509</v>
      </c>
      <c r="T1" s="16" t="s">
        <v>510</v>
      </c>
      <c r="V1" s="17" t="s">
        <v>511</v>
      </c>
      <c r="X1" s="29" t="s">
        <v>623</v>
      </c>
      <c r="Z1" s="27" t="s">
        <v>624</v>
      </c>
      <c r="AA1" s="27" t="s">
        <v>673</v>
      </c>
      <c r="AB1" s="27" t="s">
        <v>625</v>
      </c>
      <c r="AC1" s="27" t="s">
        <v>626</v>
      </c>
      <c r="AD1" s="27" t="s">
        <v>627</v>
      </c>
      <c r="AE1" s="27" t="s">
        <v>628</v>
      </c>
      <c r="AF1" s="27" t="s">
        <v>629</v>
      </c>
      <c r="AG1" s="27" t="s">
        <v>694</v>
      </c>
      <c r="AH1" s="27" t="s">
        <v>695</v>
      </c>
      <c r="AI1" s="27" t="s">
        <v>630</v>
      </c>
      <c r="AJ1" s="27" t="s">
        <v>631</v>
      </c>
      <c r="AK1" s="27" t="s">
        <v>632</v>
      </c>
      <c r="AL1" s="27" t="s">
        <v>633</v>
      </c>
      <c r="AM1" s="27" t="s">
        <v>608</v>
      </c>
      <c r="AN1" s="27" t="s">
        <v>696</v>
      </c>
      <c r="AO1" s="27" t="s">
        <v>697</v>
      </c>
      <c r="AP1" s="27" t="s">
        <v>634</v>
      </c>
      <c r="AQ1" s="27" t="s">
        <v>635</v>
      </c>
      <c r="AR1" s="27" t="s">
        <v>636</v>
      </c>
      <c r="AS1" s="86" t="s">
        <v>1048</v>
      </c>
      <c r="AT1" s="91" t="s">
        <v>1088</v>
      </c>
      <c r="AU1" s="91" t="s">
        <v>1089</v>
      </c>
      <c r="AV1" s="27" t="s">
        <v>637</v>
      </c>
      <c r="AX1" s="33" t="s">
        <v>706</v>
      </c>
    </row>
    <row r="2" spans="1:50" ht="15" thickBot="1">
      <c r="A2" t="s">
        <v>8</v>
      </c>
      <c r="C2" t="s">
        <v>35</v>
      </c>
      <c r="E2" t="s">
        <v>35</v>
      </c>
      <c r="F2" t="s">
        <v>29</v>
      </c>
      <c r="G2" t="s">
        <v>44</v>
      </c>
      <c r="H2" t="s">
        <v>30</v>
      </c>
      <c r="I2" s="3" t="s">
        <v>31</v>
      </c>
      <c r="J2" t="s">
        <v>32</v>
      </c>
      <c r="K2" t="s">
        <v>50</v>
      </c>
      <c r="L2" t="s">
        <v>38</v>
      </c>
      <c r="N2" t="s">
        <v>61</v>
      </c>
      <c r="P2" t="s">
        <v>68</v>
      </c>
      <c r="R2" s="71">
        <v>400</v>
      </c>
      <c r="T2" s="65">
        <v>2.4</v>
      </c>
      <c r="V2" s="18" t="s">
        <v>504</v>
      </c>
      <c r="X2" t="s">
        <v>984</v>
      </c>
      <c r="Z2" t="s">
        <v>638</v>
      </c>
      <c r="AA2" t="s">
        <v>1044</v>
      </c>
      <c r="AB2" t="s">
        <v>640</v>
      </c>
      <c r="AC2" t="s">
        <v>609</v>
      </c>
      <c r="AD2" t="s">
        <v>641</v>
      </c>
      <c r="AE2" t="s">
        <v>641</v>
      </c>
      <c r="AF2" t="s">
        <v>642</v>
      </c>
      <c r="AG2" t="s">
        <v>1039</v>
      </c>
      <c r="AH2" s="22" t="s">
        <v>1078</v>
      </c>
      <c r="AI2" t="s">
        <v>644</v>
      </c>
      <c r="AJ2" t="s">
        <v>615</v>
      </c>
      <c r="AK2" t="s">
        <v>645</v>
      </c>
      <c r="AL2" t="s">
        <v>633</v>
      </c>
      <c r="AM2" t="s">
        <v>629</v>
      </c>
      <c r="AN2" t="s">
        <v>1047</v>
      </c>
      <c r="AO2" t="s">
        <v>1046</v>
      </c>
      <c r="AP2" s="87" t="s">
        <v>1050</v>
      </c>
      <c r="AQ2" t="s">
        <v>635</v>
      </c>
      <c r="AR2" t="s">
        <v>646</v>
      </c>
      <c r="AS2" t="s">
        <v>1048</v>
      </c>
      <c r="AT2" t="s">
        <v>1088</v>
      </c>
      <c r="AU2" s="91" t="s">
        <v>1089</v>
      </c>
      <c r="AV2" t="s">
        <v>647</v>
      </c>
      <c r="AX2" t="s">
        <v>707</v>
      </c>
    </row>
    <row r="3" spans="1:50" ht="15" thickBot="1">
      <c r="A3" t="s">
        <v>20</v>
      </c>
      <c r="C3" t="s">
        <v>699</v>
      </c>
      <c r="E3" t="s">
        <v>41</v>
      </c>
      <c r="F3" t="s">
        <v>1</v>
      </c>
      <c r="G3" t="s">
        <v>56</v>
      </c>
      <c r="H3" t="s">
        <v>48</v>
      </c>
      <c r="I3" t="s">
        <v>34</v>
      </c>
      <c r="J3" t="s">
        <v>2</v>
      </c>
      <c r="L3" t="s">
        <v>43</v>
      </c>
      <c r="N3" t="s">
        <v>62</v>
      </c>
      <c r="P3" t="s">
        <v>1323</v>
      </c>
      <c r="R3" s="72">
        <v>230</v>
      </c>
      <c r="T3" s="66">
        <v>4.16</v>
      </c>
      <c r="V3" s="18" t="s">
        <v>507</v>
      </c>
      <c r="X3" s="90" t="s">
        <v>985</v>
      </c>
      <c r="Z3" t="s">
        <v>648</v>
      </c>
      <c r="AA3" t="s">
        <v>685</v>
      </c>
      <c r="AB3" s="23" t="s">
        <v>650</v>
      </c>
      <c r="AC3" t="s">
        <v>605</v>
      </c>
      <c r="AD3" t="s">
        <v>651</v>
      </c>
      <c r="AE3" t="s">
        <v>651</v>
      </c>
      <c r="AF3" t="s">
        <v>652</v>
      </c>
      <c r="AG3" t="s">
        <v>1038</v>
      </c>
      <c r="AH3" s="22" t="s">
        <v>1079</v>
      </c>
      <c r="AJ3" t="s">
        <v>614</v>
      </c>
      <c r="AK3" t="s">
        <v>654</v>
      </c>
      <c r="AM3" t="s">
        <v>655</v>
      </c>
      <c r="AO3" t="s">
        <v>1041</v>
      </c>
      <c r="AP3" s="87" t="s">
        <v>1051</v>
      </c>
      <c r="AS3" t="s">
        <v>1052</v>
      </c>
      <c r="AU3" t="s">
        <v>1329</v>
      </c>
      <c r="AV3" t="s">
        <v>656</v>
      </c>
      <c r="AX3" t="s">
        <v>1040</v>
      </c>
    </row>
    <row r="4" spans="1:50" ht="15" thickTop="1">
      <c r="A4" t="s">
        <v>13</v>
      </c>
      <c r="C4" t="s">
        <v>700</v>
      </c>
      <c r="E4" s="3" t="s">
        <v>46</v>
      </c>
      <c r="F4" t="s">
        <v>37</v>
      </c>
      <c r="G4" t="s">
        <v>57</v>
      </c>
      <c r="H4" t="s">
        <v>54</v>
      </c>
      <c r="I4" t="s">
        <v>36</v>
      </c>
      <c r="J4" t="s">
        <v>58</v>
      </c>
      <c r="K4" s="3"/>
      <c r="L4" t="s">
        <v>59</v>
      </c>
      <c r="N4" t="s">
        <v>63</v>
      </c>
      <c r="P4" t="s">
        <v>1322</v>
      </c>
      <c r="R4" s="71">
        <v>138</v>
      </c>
      <c r="T4" s="66">
        <v>4.8</v>
      </c>
      <c r="V4" s="18" t="s">
        <v>13</v>
      </c>
      <c r="X4" t="s">
        <v>629</v>
      </c>
      <c r="Z4" t="s">
        <v>657</v>
      </c>
      <c r="AA4" t="s">
        <v>689</v>
      </c>
      <c r="AB4" s="24" t="s">
        <v>659</v>
      </c>
      <c r="AC4" t="s">
        <v>610</v>
      </c>
      <c r="AD4" t="s">
        <v>660</v>
      </c>
      <c r="AE4" t="s">
        <v>660</v>
      </c>
      <c r="AF4" t="s">
        <v>629</v>
      </c>
      <c r="AG4" t="s">
        <v>661</v>
      </c>
      <c r="AH4" s="22" t="s">
        <v>1085</v>
      </c>
      <c r="AJ4" t="s">
        <v>662</v>
      </c>
      <c r="AM4" t="s">
        <v>1017</v>
      </c>
      <c r="AO4" t="s">
        <v>1042</v>
      </c>
      <c r="AP4" s="28" t="s">
        <v>664</v>
      </c>
      <c r="AS4" t="s">
        <v>1049</v>
      </c>
      <c r="AV4" t="s">
        <v>665</v>
      </c>
      <c r="AX4" t="s">
        <v>708</v>
      </c>
    </row>
    <row r="5" spans="1:50">
      <c r="A5" t="s">
        <v>17</v>
      </c>
      <c r="C5" t="s">
        <v>701</v>
      </c>
      <c r="I5" t="s">
        <v>40</v>
      </c>
      <c r="N5" t="s">
        <v>496</v>
      </c>
      <c r="P5" t="s">
        <v>70</v>
      </c>
      <c r="R5" s="71">
        <v>115</v>
      </c>
      <c r="T5" s="66">
        <v>6.9</v>
      </c>
      <c r="V5" s="18" t="s">
        <v>980</v>
      </c>
      <c r="X5" t="s">
        <v>633</v>
      </c>
      <c r="Z5" t="s">
        <v>666</v>
      </c>
      <c r="AA5" t="s">
        <v>1045</v>
      </c>
      <c r="AB5" s="23" t="s">
        <v>559</v>
      </c>
      <c r="AC5" t="s">
        <v>978</v>
      </c>
      <c r="AD5" t="s">
        <v>1086</v>
      </c>
      <c r="AE5" t="s">
        <v>668</v>
      </c>
      <c r="AG5" t="s">
        <v>669</v>
      </c>
      <c r="AH5" s="22" t="s">
        <v>643</v>
      </c>
      <c r="AM5" s="25" t="s">
        <v>1087</v>
      </c>
      <c r="AO5" t="s">
        <v>1043</v>
      </c>
      <c r="AP5" s="123" t="s">
        <v>1328</v>
      </c>
      <c r="AV5" t="s">
        <v>671</v>
      </c>
    </row>
    <row r="6" spans="1:50">
      <c r="A6" t="s">
        <v>33</v>
      </c>
      <c r="C6" t="s">
        <v>702</v>
      </c>
      <c r="I6" t="s">
        <v>52</v>
      </c>
      <c r="N6" t="s">
        <v>494</v>
      </c>
      <c r="P6" t="s">
        <v>14</v>
      </c>
      <c r="R6" s="72">
        <v>69</v>
      </c>
      <c r="T6" s="67">
        <v>8.3000000000000007</v>
      </c>
      <c r="V6" s="18" t="s">
        <v>505</v>
      </c>
      <c r="X6" s="89" t="s">
        <v>13</v>
      </c>
      <c r="Z6" t="s">
        <v>672</v>
      </c>
      <c r="AA6" t="s">
        <v>680</v>
      </c>
      <c r="AB6" t="s">
        <v>674</v>
      </c>
      <c r="AD6" t="s">
        <v>668</v>
      </c>
      <c r="AE6" t="s">
        <v>675</v>
      </c>
      <c r="AG6" t="s">
        <v>676</v>
      </c>
      <c r="AH6" s="22" t="s">
        <v>653</v>
      </c>
      <c r="AM6" s="25" t="s">
        <v>13</v>
      </c>
      <c r="AO6" t="s">
        <v>663</v>
      </c>
      <c r="AV6" t="s">
        <v>678</v>
      </c>
    </row>
    <row r="7" spans="1:50">
      <c r="A7" t="s">
        <v>16</v>
      </c>
      <c r="C7" t="s">
        <v>703</v>
      </c>
      <c r="N7" t="s">
        <v>64</v>
      </c>
      <c r="P7" t="s">
        <v>71</v>
      </c>
      <c r="R7" s="72">
        <v>34.5</v>
      </c>
      <c r="T7" s="68">
        <v>11.9</v>
      </c>
      <c r="V7" s="18" t="s">
        <v>981</v>
      </c>
      <c r="X7" t="s">
        <v>634</v>
      </c>
      <c r="Z7" t="s">
        <v>679</v>
      </c>
      <c r="AA7" t="s">
        <v>639</v>
      </c>
      <c r="AB7" t="s">
        <v>681</v>
      </c>
      <c r="AD7" t="s">
        <v>675</v>
      </c>
      <c r="AG7" t="s">
        <v>683</v>
      </c>
      <c r="AO7" t="s">
        <v>670</v>
      </c>
      <c r="AV7" t="s">
        <v>684</v>
      </c>
    </row>
    <row r="8" spans="1:50">
      <c r="A8" t="s">
        <v>12</v>
      </c>
      <c r="C8" t="s">
        <v>704</v>
      </c>
      <c r="N8" t="s">
        <v>65</v>
      </c>
      <c r="P8" t="s">
        <v>1324</v>
      </c>
      <c r="R8" s="73">
        <v>30</v>
      </c>
      <c r="T8" s="67">
        <v>12.47</v>
      </c>
      <c r="V8" s="18" t="s">
        <v>502</v>
      </c>
      <c r="X8" t="s">
        <v>986</v>
      </c>
      <c r="Z8" t="s">
        <v>51</v>
      </c>
      <c r="AA8" t="s">
        <v>649</v>
      </c>
      <c r="AB8" t="s">
        <v>684</v>
      </c>
      <c r="AD8" t="s">
        <v>682</v>
      </c>
      <c r="AO8" t="s">
        <v>1157</v>
      </c>
      <c r="AV8" t="s">
        <v>687</v>
      </c>
    </row>
    <row r="9" spans="1:50">
      <c r="A9" t="s">
        <v>25</v>
      </c>
      <c r="C9" t="s">
        <v>705</v>
      </c>
      <c r="N9" t="s">
        <v>66</v>
      </c>
      <c r="P9" t="s">
        <v>140</v>
      </c>
      <c r="R9" s="72">
        <v>23.9</v>
      </c>
      <c r="T9" s="68">
        <v>13.8</v>
      </c>
      <c r="V9" s="18" t="s">
        <v>503</v>
      </c>
      <c r="X9" t="s">
        <v>673</v>
      </c>
      <c r="Z9" t="s">
        <v>688</v>
      </c>
      <c r="AA9" t="s">
        <v>658</v>
      </c>
      <c r="AB9" t="s">
        <v>690</v>
      </c>
      <c r="AD9" t="s">
        <v>686</v>
      </c>
      <c r="AO9" t="s">
        <v>677</v>
      </c>
      <c r="AV9" t="s">
        <v>691</v>
      </c>
    </row>
    <row r="10" spans="1:50">
      <c r="A10" t="s">
        <v>21</v>
      </c>
      <c r="N10" t="s">
        <v>67</v>
      </c>
      <c r="P10" t="s">
        <v>1320</v>
      </c>
      <c r="R10" s="73">
        <v>13.8</v>
      </c>
      <c r="T10" s="68">
        <v>23.9</v>
      </c>
      <c r="V10" s="18" t="s">
        <v>512</v>
      </c>
      <c r="X10" t="s">
        <v>982</v>
      </c>
      <c r="Z10" s="23"/>
      <c r="AA10" t="s">
        <v>667</v>
      </c>
      <c r="AV10" s="26" t="s">
        <v>692</v>
      </c>
    </row>
    <row r="11" spans="1:50">
      <c r="A11" t="s">
        <v>18</v>
      </c>
      <c r="N11" t="s">
        <v>495</v>
      </c>
      <c r="P11" t="s">
        <v>1321</v>
      </c>
      <c r="R11" s="72">
        <v>12.47</v>
      </c>
      <c r="T11" s="67">
        <v>24</v>
      </c>
      <c r="V11" s="18" t="s">
        <v>508</v>
      </c>
      <c r="X11" t="s">
        <v>695</v>
      </c>
      <c r="Z11" s="24"/>
      <c r="AV11" t="s">
        <v>693</v>
      </c>
    </row>
    <row r="12" spans="1:50">
      <c r="A12" t="s">
        <v>24</v>
      </c>
      <c r="N12" t="s">
        <v>497</v>
      </c>
      <c r="R12" s="73">
        <v>7.5</v>
      </c>
      <c r="T12" s="67">
        <v>24.5</v>
      </c>
      <c r="X12" t="s">
        <v>635</v>
      </c>
      <c r="Z12" s="24"/>
      <c r="AV12" t="s">
        <v>502</v>
      </c>
    </row>
    <row r="13" spans="1:50">
      <c r="A13" t="s">
        <v>39</v>
      </c>
      <c r="N13" t="s">
        <v>499</v>
      </c>
      <c r="R13" s="72">
        <v>4.8</v>
      </c>
      <c r="T13" s="68">
        <v>30</v>
      </c>
      <c r="X13" t="s">
        <v>697</v>
      </c>
    </row>
    <row r="14" spans="1:50">
      <c r="A14" t="s">
        <v>15</v>
      </c>
      <c r="N14" t="s">
        <v>498</v>
      </c>
      <c r="R14" s="74" t="s">
        <v>506</v>
      </c>
      <c r="T14" s="68">
        <v>34.5</v>
      </c>
      <c r="X14" t="s">
        <v>696</v>
      </c>
    </row>
    <row r="15" spans="1:50">
      <c r="A15" t="s">
        <v>42</v>
      </c>
      <c r="T15" s="69" t="s">
        <v>506</v>
      </c>
      <c r="X15" t="s">
        <v>694</v>
      </c>
    </row>
    <row r="16" spans="1:50">
      <c r="A16" t="s">
        <v>23</v>
      </c>
      <c r="X16" t="s">
        <v>987</v>
      </c>
    </row>
    <row r="17" spans="1:24">
      <c r="A17" t="s">
        <v>45</v>
      </c>
      <c r="X17" t="s">
        <v>983</v>
      </c>
    </row>
    <row r="18" spans="1:24">
      <c r="A18" t="s">
        <v>47</v>
      </c>
      <c r="X18" t="s">
        <v>988</v>
      </c>
    </row>
    <row r="19" spans="1:24">
      <c r="A19" t="s">
        <v>49</v>
      </c>
      <c r="X19" t="s">
        <v>989</v>
      </c>
    </row>
    <row r="20" spans="1:24">
      <c r="A20" t="s">
        <v>51</v>
      </c>
      <c r="X20" t="s">
        <v>990</v>
      </c>
    </row>
    <row r="21" spans="1:24">
      <c r="A21" t="s">
        <v>53</v>
      </c>
      <c r="X21" t="s">
        <v>991</v>
      </c>
    </row>
    <row r="22" spans="1:24">
      <c r="A22" t="s">
        <v>55</v>
      </c>
      <c r="X22" t="s">
        <v>992</v>
      </c>
    </row>
  </sheetData>
  <sheetProtection selectLockedCells="1" selectUnlockedCells="1"/>
  <sortState xmlns:xlrd2="http://schemas.microsoft.com/office/spreadsheetml/2017/richdata2" ref="X2:X22">
    <sortCondition ref="X2:X22"/>
  </sortState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tableParts count="3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A1:X313"/>
  <sheetViews>
    <sheetView workbookViewId="0">
      <selection activeCell="B2" sqref="B2"/>
    </sheetView>
  </sheetViews>
  <sheetFormatPr baseColWidth="10" defaultColWidth="8.88671875" defaultRowHeight="14.4"/>
  <cols>
    <col min="1" max="2" width="50.6640625" customWidth="1"/>
    <col min="3" max="3" width="55.44140625" customWidth="1"/>
    <col min="4" max="4" width="51.6640625" customWidth="1"/>
    <col min="5" max="5" width="55.6640625" bestFit="1" customWidth="1"/>
    <col min="6" max="6" width="49.6640625" bestFit="1" customWidth="1"/>
    <col min="7" max="7" width="44.6640625" bestFit="1" customWidth="1"/>
    <col min="8" max="8" width="46.44140625" bestFit="1" customWidth="1"/>
    <col min="9" max="9" width="49.6640625" bestFit="1" customWidth="1"/>
    <col min="10" max="10" width="43.5546875" customWidth="1"/>
    <col min="11" max="11" width="38.6640625" bestFit="1" customWidth="1"/>
    <col min="12" max="12" width="48.33203125" customWidth="1"/>
    <col min="13" max="13" width="61.109375" customWidth="1"/>
    <col min="14" max="14" width="66.44140625" customWidth="1"/>
    <col min="15" max="15" width="39.33203125" customWidth="1"/>
    <col min="16" max="16" width="41.88671875" bestFit="1" customWidth="1"/>
    <col min="17" max="17" width="49.88671875" customWidth="1"/>
    <col min="18" max="19" width="40" bestFit="1" customWidth="1"/>
    <col min="20" max="20" width="40.44140625" customWidth="1"/>
    <col min="21" max="21" width="46.5546875" bestFit="1" customWidth="1"/>
    <col min="22" max="22" width="58.33203125" customWidth="1"/>
    <col min="23" max="23" width="61.33203125" bestFit="1" customWidth="1"/>
    <col min="24" max="24" width="48.33203125" customWidth="1"/>
    <col min="25" max="259" width="11.44140625" customWidth="1"/>
  </cols>
  <sheetData>
    <row r="1" spans="1:24">
      <c r="A1" s="11" t="s">
        <v>491</v>
      </c>
      <c r="B1" s="109" t="s">
        <v>1318</v>
      </c>
      <c r="C1" t="s">
        <v>500</v>
      </c>
      <c r="D1" s="13" t="s">
        <v>492</v>
      </c>
      <c r="E1" s="8" t="s">
        <v>13</v>
      </c>
      <c r="F1" s="14" t="s">
        <v>79</v>
      </c>
      <c r="G1" s="13" t="s">
        <v>99</v>
      </c>
      <c r="H1" s="7" t="s">
        <v>276</v>
      </c>
      <c r="I1" s="8" t="s">
        <v>232</v>
      </c>
      <c r="J1" s="9" t="s">
        <v>21</v>
      </c>
      <c r="K1" s="10" t="s">
        <v>18</v>
      </c>
      <c r="L1" s="11" t="s">
        <v>230</v>
      </c>
      <c r="M1" s="9" t="s">
        <v>224</v>
      </c>
      <c r="N1" s="11" t="s">
        <v>15</v>
      </c>
      <c r="O1" s="9" t="s">
        <v>493</v>
      </c>
      <c r="P1" s="12" t="s">
        <v>23</v>
      </c>
      <c r="Q1" t="s">
        <v>1053</v>
      </c>
      <c r="R1" t="s">
        <v>516</v>
      </c>
      <c r="S1" t="s">
        <v>1077</v>
      </c>
      <c r="T1" t="s">
        <v>619</v>
      </c>
      <c r="U1" t="s">
        <v>620</v>
      </c>
      <c r="V1" t="s">
        <v>51</v>
      </c>
      <c r="W1" t="s">
        <v>621</v>
      </c>
      <c r="X1" t="s">
        <v>622</v>
      </c>
    </row>
    <row r="2" spans="1:24" ht="28.8">
      <c r="A2" s="38" t="s">
        <v>9</v>
      </c>
      <c r="B2" s="38" t="s">
        <v>139</v>
      </c>
      <c r="C2" s="38" t="s">
        <v>238</v>
      </c>
      <c r="D2" s="38" t="s">
        <v>175</v>
      </c>
      <c r="E2" s="38" t="s">
        <v>154</v>
      </c>
      <c r="F2" s="40" t="s">
        <v>80</v>
      </c>
      <c r="G2" s="40" t="s">
        <v>119</v>
      </c>
      <c r="H2" s="40" t="s">
        <v>913</v>
      </c>
      <c r="I2" s="38" t="s">
        <v>237</v>
      </c>
      <c r="J2" s="38" t="s">
        <v>74</v>
      </c>
      <c r="K2" s="53" t="s">
        <v>361</v>
      </c>
      <c r="L2" s="38" t="s">
        <v>602</v>
      </c>
      <c r="M2" s="38" t="s">
        <v>225</v>
      </c>
      <c r="N2" s="59" t="s">
        <v>27</v>
      </c>
      <c r="O2" s="53" t="s">
        <v>130</v>
      </c>
      <c r="P2" s="53" t="s">
        <v>389</v>
      </c>
      <c r="Q2" s="38" t="s">
        <v>964</v>
      </c>
      <c r="R2" s="38" t="s">
        <v>978</v>
      </c>
      <c r="S2" s="53" t="s">
        <v>546</v>
      </c>
      <c r="T2" s="59" t="s">
        <v>614</v>
      </c>
      <c r="U2" s="38" t="s">
        <v>555</v>
      </c>
      <c r="V2" s="59" t="s">
        <v>773</v>
      </c>
      <c r="W2" s="38" t="s">
        <v>756</v>
      </c>
      <c r="X2" s="38" t="s">
        <v>55</v>
      </c>
    </row>
    <row r="3" spans="1:24">
      <c r="A3" s="38" t="s">
        <v>11</v>
      </c>
      <c r="B3" s="38"/>
      <c r="C3" s="38" t="s">
        <v>239</v>
      </c>
      <c r="D3" s="38" t="s">
        <v>176</v>
      </c>
      <c r="E3" s="38" t="s">
        <v>155</v>
      </c>
      <c r="F3" s="40" t="s">
        <v>81</v>
      </c>
      <c r="G3" s="40" t="s">
        <v>120</v>
      </c>
      <c r="H3" s="40" t="s">
        <v>713</v>
      </c>
      <c r="I3" s="38" t="s">
        <v>235</v>
      </c>
      <c r="J3" s="53" t="s">
        <v>75</v>
      </c>
      <c r="K3" s="53" t="s">
        <v>362</v>
      </c>
      <c r="L3" s="38" t="s">
        <v>1072</v>
      </c>
      <c r="M3" s="38" t="s">
        <v>226</v>
      </c>
      <c r="N3" s="59" t="s">
        <v>87</v>
      </c>
      <c r="O3" s="53" t="s">
        <v>132</v>
      </c>
      <c r="P3" s="53" t="s">
        <v>390</v>
      </c>
      <c r="Q3" s="38" t="s">
        <v>1059</v>
      </c>
      <c r="R3" s="38" t="s">
        <v>605</v>
      </c>
      <c r="S3" s="53"/>
      <c r="T3" s="59" t="s">
        <v>615</v>
      </c>
      <c r="U3" s="38" t="s">
        <v>600</v>
      </c>
      <c r="V3" s="59" t="s">
        <v>573</v>
      </c>
      <c r="W3" s="38" t="s">
        <v>744</v>
      </c>
    </row>
    <row r="4" spans="1:24">
      <c r="A4" s="38" t="s">
        <v>141</v>
      </c>
      <c r="B4" s="38"/>
      <c r="C4" s="38" t="s">
        <v>240</v>
      </c>
      <c r="D4" s="38" t="s">
        <v>177</v>
      </c>
      <c r="E4" s="38" t="s">
        <v>156</v>
      </c>
      <c r="F4" s="40" t="s">
        <v>82</v>
      </c>
      <c r="G4" s="46" t="s">
        <v>118</v>
      </c>
      <c r="H4" s="40" t="s">
        <v>870</v>
      </c>
      <c r="I4" s="38" t="s">
        <v>236</v>
      </c>
      <c r="J4" s="53" t="s">
        <v>76</v>
      </c>
      <c r="K4" s="53" t="s">
        <v>363</v>
      </c>
      <c r="L4" s="38" t="s">
        <v>603</v>
      </c>
      <c r="M4" s="38" t="s">
        <v>227</v>
      </c>
      <c r="N4" s="59" t="s">
        <v>88</v>
      </c>
      <c r="O4" s="53" t="s">
        <v>133</v>
      </c>
      <c r="P4" s="38" t="s">
        <v>391</v>
      </c>
      <c r="Q4" s="38" t="s">
        <v>1058</v>
      </c>
      <c r="R4" s="38" t="s">
        <v>871</v>
      </c>
      <c r="S4" s="63"/>
      <c r="U4" s="38" t="s">
        <v>139</v>
      </c>
      <c r="V4" s="59"/>
      <c r="W4" s="38" t="s">
        <v>550</v>
      </c>
    </row>
    <row r="5" spans="1:24" ht="28.8">
      <c r="A5" s="38" t="s">
        <v>142</v>
      </c>
      <c r="B5" s="38"/>
      <c r="C5" s="38" t="s">
        <v>241</v>
      </c>
      <c r="D5" s="38" t="s">
        <v>178</v>
      </c>
      <c r="E5" s="38" t="s">
        <v>157</v>
      </c>
      <c r="F5" s="40" t="s">
        <v>83</v>
      </c>
      <c r="G5" s="40" t="s">
        <v>121</v>
      </c>
      <c r="H5" s="40" t="s">
        <v>898</v>
      </c>
      <c r="I5" s="38" t="s">
        <v>895</v>
      </c>
      <c r="J5" s="53" t="s">
        <v>77</v>
      </c>
      <c r="K5" s="46" t="s">
        <v>531</v>
      </c>
      <c r="L5" s="43"/>
      <c r="M5" s="38" t="s">
        <v>228</v>
      </c>
      <c r="N5" s="59" t="s">
        <v>89</v>
      </c>
      <c r="O5" s="53" t="s">
        <v>134</v>
      </c>
      <c r="P5" s="38" t="s">
        <v>392</v>
      </c>
      <c r="Q5" s="38" t="s">
        <v>1060</v>
      </c>
      <c r="R5" s="38" t="s">
        <v>609</v>
      </c>
      <c r="S5" s="63"/>
      <c r="U5" s="38" t="s">
        <v>544</v>
      </c>
      <c r="V5" s="64" t="s">
        <v>924</v>
      </c>
      <c r="W5" s="38" t="s">
        <v>755</v>
      </c>
    </row>
    <row r="6" spans="1:24" ht="41.4">
      <c r="A6" s="38" t="s">
        <v>143</v>
      </c>
      <c r="B6" s="38"/>
      <c r="C6" s="38" t="s">
        <v>242</v>
      </c>
      <c r="D6" s="38" t="s">
        <v>179</v>
      </c>
      <c r="E6" s="38" t="s">
        <v>158</v>
      </c>
      <c r="F6" s="40" t="s">
        <v>84</v>
      </c>
      <c r="G6" s="40" t="s">
        <v>122</v>
      </c>
      <c r="H6" s="40" t="s">
        <v>914</v>
      </c>
      <c r="I6" s="38" t="s">
        <v>585</v>
      </c>
      <c r="J6" s="53" t="s">
        <v>1020</v>
      </c>
      <c r="K6" s="53" t="s">
        <v>364</v>
      </c>
      <c r="L6" s="43" t="s">
        <v>554</v>
      </c>
      <c r="M6" s="57" t="s">
        <v>229</v>
      </c>
      <c r="N6" s="59" t="s">
        <v>90</v>
      </c>
      <c r="O6" s="53" t="s">
        <v>135</v>
      </c>
      <c r="P6" s="38" t="s">
        <v>393</v>
      </c>
      <c r="Q6" s="38" t="s">
        <v>1061</v>
      </c>
      <c r="R6" s="38" t="s">
        <v>610</v>
      </c>
      <c r="S6" s="63"/>
      <c r="U6" s="38" t="s">
        <v>545</v>
      </c>
      <c r="W6" s="43" t="s">
        <v>752</v>
      </c>
    </row>
    <row r="7" spans="1:24" ht="28.8">
      <c r="A7" s="38" t="s">
        <v>144</v>
      </c>
      <c r="B7" s="38"/>
      <c r="C7" s="38" t="s">
        <v>243</v>
      </c>
      <c r="D7" s="38" t="s">
        <v>180</v>
      </c>
      <c r="E7" s="38" t="s">
        <v>159</v>
      </c>
      <c r="F7" s="40" t="s">
        <v>85</v>
      </c>
      <c r="G7" s="40" t="s">
        <v>123</v>
      </c>
      <c r="H7" s="40" t="s">
        <v>932</v>
      </c>
      <c r="I7" s="38" t="s">
        <v>1074</v>
      </c>
      <c r="J7" s="53" t="s">
        <v>1021</v>
      </c>
      <c r="K7" s="53" t="s">
        <v>365</v>
      </c>
      <c r="L7" s="54" t="s">
        <v>1073</v>
      </c>
      <c r="M7" s="58" t="s">
        <v>975</v>
      </c>
      <c r="N7" s="59" t="s">
        <v>91</v>
      </c>
      <c r="O7" s="53" t="s">
        <v>136</v>
      </c>
      <c r="P7" s="38" t="s">
        <v>394</v>
      </c>
      <c r="Q7" s="54" t="s">
        <v>1063</v>
      </c>
      <c r="R7" s="53" t="s">
        <v>925</v>
      </c>
      <c r="S7" s="63"/>
      <c r="U7" s="38" t="s">
        <v>559</v>
      </c>
      <c r="W7" s="54" t="s">
        <v>753</v>
      </c>
    </row>
    <row r="8" spans="1:24" ht="28.8">
      <c r="A8" s="38" t="s">
        <v>145</v>
      </c>
      <c r="B8" s="38"/>
      <c r="C8" s="38" t="s">
        <v>244</v>
      </c>
      <c r="D8" s="38" t="s">
        <v>181</v>
      </c>
      <c r="E8" s="38" t="s">
        <v>160</v>
      </c>
      <c r="F8" s="45" t="s">
        <v>86</v>
      </c>
      <c r="G8" s="40" t="s">
        <v>124</v>
      </c>
      <c r="H8" s="40" t="s">
        <v>958</v>
      </c>
      <c r="I8" s="38" t="s">
        <v>1075</v>
      </c>
      <c r="J8" s="53" t="s">
        <v>75</v>
      </c>
      <c r="K8" s="53" t="s">
        <v>366</v>
      </c>
      <c r="L8" s="54"/>
      <c r="M8" s="38" t="s">
        <v>993</v>
      </c>
      <c r="N8" s="59" t="s">
        <v>92</v>
      </c>
      <c r="O8" s="53" t="s">
        <v>137</v>
      </c>
      <c r="P8" s="38" t="s">
        <v>395</v>
      </c>
      <c r="Q8" s="38" t="s">
        <v>1064</v>
      </c>
      <c r="R8" s="53" t="s">
        <v>543</v>
      </c>
      <c r="S8" s="63"/>
      <c r="U8" s="38" t="s">
        <v>519</v>
      </c>
      <c r="W8" s="38" t="s">
        <v>556</v>
      </c>
    </row>
    <row r="9" spans="1:24">
      <c r="A9" s="38" t="s">
        <v>146</v>
      </c>
      <c r="B9" s="38"/>
      <c r="C9" s="38" t="s">
        <v>245</v>
      </c>
      <c r="D9" s="40" t="s">
        <v>182</v>
      </c>
      <c r="E9" s="38" t="s">
        <v>161</v>
      </c>
      <c r="G9" s="40" t="s">
        <v>125</v>
      </c>
      <c r="H9" s="40" t="s">
        <v>712</v>
      </c>
      <c r="I9" s="38" t="s">
        <v>588</v>
      </c>
      <c r="J9" s="53" t="s">
        <v>78</v>
      </c>
      <c r="K9" s="53" t="s">
        <v>367</v>
      </c>
      <c r="L9" s="55" t="s">
        <v>938</v>
      </c>
      <c r="M9" s="38" t="s">
        <v>994</v>
      </c>
      <c r="N9" s="59" t="s">
        <v>93</v>
      </c>
      <c r="O9" s="53" t="s">
        <v>138</v>
      </c>
      <c r="P9" s="38" t="s">
        <v>396</v>
      </c>
      <c r="Q9" s="53" t="s">
        <v>1065</v>
      </c>
      <c r="R9" s="53" t="s">
        <v>546</v>
      </c>
      <c r="S9" s="63"/>
      <c r="U9" s="38" t="s">
        <v>564</v>
      </c>
      <c r="W9" s="38" t="s">
        <v>558</v>
      </c>
    </row>
    <row r="10" spans="1:24" ht="20.399999999999999">
      <c r="A10" s="38" t="s">
        <v>147</v>
      </c>
      <c r="B10" s="38"/>
      <c r="C10" s="38" t="s">
        <v>246</v>
      </c>
      <c r="D10" s="40" t="s">
        <v>183</v>
      </c>
      <c r="E10" s="38" t="s">
        <v>162</v>
      </c>
      <c r="G10" s="40" t="s">
        <v>126</v>
      </c>
      <c r="H10" s="40" t="s">
        <v>283</v>
      </c>
      <c r="I10" s="38" t="s">
        <v>589</v>
      </c>
      <c r="J10" s="53" t="s">
        <v>874</v>
      </c>
      <c r="K10" s="53" t="s">
        <v>368</v>
      </c>
      <c r="L10" s="55" t="s">
        <v>754</v>
      </c>
      <c r="M10" s="38" t="s">
        <v>995</v>
      </c>
      <c r="N10" s="59" t="s">
        <v>94</v>
      </c>
      <c r="O10" s="53" t="s">
        <v>436</v>
      </c>
      <c r="P10" s="38" t="s">
        <v>397</v>
      </c>
      <c r="Q10" s="53" t="s">
        <v>1062</v>
      </c>
      <c r="R10" s="53" t="s">
        <v>557</v>
      </c>
      <c r="S10" s="63"/>
      <c r="U10" s="38" t="s">
        <v>576</v>
      </c>
      <c r="W10" s="63" t="s">
        <v>745</v>
      </c>
    </row>
    <row r="11" spans="1:24" ht="20.399999999999999">
      <c r="A11" s="38" t="s">
        <v>148</v>
      </c>
      <c r="B11" s="38"/>
      <c r="C11" s="38" t="s">
        <v>247</v>
      </c>
      <c r="D11" s="38" t="s">
        <v>184</v>
      </c>
      <c r="E11" s="38" t="s">
        <v>163</v>
      </c>
      <c r="G11" s="40" t="s">
        <v>127</v>
      </c>
      <c r="H11" s="40" t="s">
        <v>286</v>
      </c>
      <c r="I11" s="38" t="s">
        <v>590</v>
      </c>
      <c r="K11" s="53" t="s">
        <v>369</v>
      </c>
      <c r="L11" s="56" t="s">
        <v>772</v>
      </c>
      <c r="M11" s="38" t="s">
        <v>996</v>
      </c>
      <c r="N11" s="59" t="s">
        <v>95</v>
      </c>
      <c r="O11" s="53" t="s">
        <v>780</v>
      </c>
      <c r="P11" s="38" t="s">
        <v>398</v>
      </c>
      <c r="Q11" s="53" t="s">
        <v>1070</v>
      </c>
      <c r="R11" s="63" t="s">
        <v>881</v>
      </c>
      <c r="U11" s="38" t="s">
        <v>592</v>
      </c>
      <c r="W11" s="63" t="s">
        <v>746</v>
      </c>
    </row>
    <row r="12" spans="1:24" ht="20.399999999999999">
      <c r="A12" s="38" t="s">
        <v>149</v>
      </c>
      <c r="B12" s="38"/>
      <c r="C12" s="38" t="s">
        <v>248</v>
      </c>
      <c r="D12" s="38" t="s">
        <v>185</v>
      </c>
      <c r="E12" s="38" t="s">
        <v>164</v>
      </c>
      <c r="G12" s="38" t="s">
        <v>883</v>
      </c>
      <c r="H12" s="40" t="s">
        <v>282</v>
      </c>
      <c r="I12" s="38" t="s">
        <v>591</v>
      </c>
      <c r="K12" s="53" t="s">
        <v>370</v>
      </c>
      <c r="M12" s="38" t="s">
        <v>997</v>
      </c>
      <c r="N12" s="59" t="s">
        <v>96</v>
      </c>
      <c r="O12" s="53" t="s">
        <v>437</v>
      </c>
      <c r="P12" s="38" t="s">
        <v>399</v>
      </c>
      <c r="Q12" s="53" t="s">
        <v>1069</v>
      </c>
      <c r="R12" s="63" t="s">
        <v>952</v>
      </c>
      <c r="U12" s="38" t="s">
        <v>598</v>
      </c>
      <c r="W12" s="63" t="s">
        <v>747</v>
      </c>
    </row>
    <row r="13" spans="1:24" ht="20.399999999999999">
      <c r="A13" s="38" t="s">
        <v>150</v>
      </c>
      <c r="B13" s="38"/>
      <c r="C13" s="38" t="s">
        <v>249</v>
      </c>
      <c r="D13" s="38" t="s">
        <v>186</v>
      </c>
      <c r="E13" s="38" t="s">
        <v>165</v>
      </c>
      <c r="G13" s="38" t="s">
        <v>884</v>
      </c>
      <c r="H13" s="40" t="s">
        <v>285</v>
      </c>
      <c r="I13" s="38" t="s">
        <v>582</v>
      </c>
      <c r="K13" s="53" t="s">
        <v>371</v>
      </c>
      <c r="M13" s="38" t="s">
        <v>998</v>
      </c>
      <c r="N13" s="59" t="s">
        <v>97</v>
      </c>
      <c r="O13" s="38" t="s">
        <v>779</v>
      </c>
      <c r="P13" s="38" t="s">
        <v>400</v>
      </c>
      <c r="Q13" s="38" t="s">
        <v>1071</v>
      </c>
      <c r="R13" s="63" t="s">
        <v>939</v>
      </c>
      <c r="U13" s="38" t="s">
        <v>525</v>
      </c>
      <c r="W13" s="63" t="s">
        <v>953</v>
      </c>
    </row>
    <row r="14" spans="1:24" ht="20.399999999999999">
      <c r="A14" s="38" t="s">
        <v>151</v>
      </c>
      <c r="B14" s="38"/>
      <c r="C14" s="38" t="s">
        <v>250</v>
      </c>
      <c r="D14" s="38" t="s">
        <v>187</v>
      </c>
      <c r="E14" s="38" t="s">
        <v>166</v>
      </c>
      <c r="G14" s="38" t="s">
        <v>885</v>
      </c>
      <c r="H14" s="40" t="s">
        <v>281</v>
      </c>
      <c r="I14" s="38" t="s">
        <v>583</v>
      </c>
      <c r="K14" s="53" t="s">
        <v>372</v>
      </c>
      <c r="M14" s="38" t="s">
        <v>999</v>
      </c>
      <c r="N14" s="59" t="s">
        <v>98</v>
      </c>
      <c r="O14" s="38" t="s">
        <v>775</v>
      </c>
      <c r="P14" s="38" t="s">
        <v>401</v>
      </c>
      <c r="Q14" s="38" t="s">
        <v>1067</v>
      </c>
      <c r="R14" s="63" t="s">
        <v>758</v>
      </c>
      <c r="U14" s="38" t="s">
        <v>527</v>
      </c>
    </row>
    <row r="15" spans="1:24" ht="20.399999999999999">
      <c r="A15" s="38" t="s">
        <v>152</v>
      </c>
      <c r="B15" s="38"/>
      <c r="C15" s="38" t="s">
        <v>251</v>
      </c>
      <c r="D15" s="38" t="s">
        <v>188</v>
      </c>
      <c r="E15" s="38" t="s">
        <v>167</v>
      </c>
      <c r="G15" s="38" t="s">
        <v>886</v>
      </c>
      <c r="H15" s="40" t="s">
        <v>284</v>
      </c>
      <c r="I15" s="43" t="s">
        <v>584</v>
      </c>
      <c r="K15" s="53" t="s">
        <v>373</v>
      </c>
      <c r="M15" s="38" t="s">
        <v>1000</v>
      </c>
      <c r="N15" s="60" t="s">
        <v>927</v>
      </c>
      <c r="O15" s="38" t="s">
        <v>776</v>
      </c>
      <c r="P15" s="38" t="s">
        <v>402</v>
      </c>
      <c r="Q15" s="21" t="s">
        <v>1068</v>
      </c>
      <c r="R15" s="63" t="s">
        <v>759</v>
      </c>
      <c r="U15" s="38" t="s">
        <v>599</v>
      </c>
    </row>
    <row r="16" spans="1:24">
      <c r="A16" s="38" t="s">
        <v>153</v>
      </c>
      <c r="B16" s="38"/>
      <c r="C16" s="38" t="s">
        <v>252</v>
      </c>
      <c r="D16" s="38" t="s">
        <v>189</v>
      </c>
      <c r="E16" s="38" t="s">
        <v>168</v>
      </c>
      <c r="G16" s="38" t="s">
        <v>887</v>
      </c>
      <c r="H16" s="40" t="s">
        <v>280</v>
      </c>
      <c r="I16" s="38" t="s">
        <v>586</v>
      </c>
      <c r="K16" s="53" t="s">
        <v>374</v>
      </c>
      <c r="M16" s="38" t="s">
        <v>1001</v>
      </c>
      <c r="O16" s="38" t="s">
        <v>778</v>
      </c>
      <c r="P16" s="38" t="s">
        <v>403</v>
      </c>
      <c r="Q16" s="38" t="s">
        <v>1066</v>
      </c>
      <c r="R16" s="63" t="s">
        <v>896</v>
      </c>
      <c r="U16" s="38" t="s">
        <v>604</v>
      </c>
    </row>
    <row r="17" spans="1:21" ht="20.399999999999999">
      <c r="A17" s="38" t="s">
        <v>431</v>
      </c>
      <c r="B17" s="38"/>
      <c r="C17" s="38" t="s">
        <v>253</v>
      </c>
      <c r="D17" s="38" t="s">
        <v>190</v>
      </c>
      <c r="E17" s="38" t="s">
        <v>169</v>
      </c>
      <c r="G17" s="38" t="s">
        <v>888</v>
      </c>
      <c r="H17" s="40" t="s">
        <v>287</v>
      </c>
      <c r="I17" s="43" t="s">
        <v>587</v>
      </c>
      <c r="K17" s="53" t="s">
        <v>375</v>
      </c>
      <c r="M17" s="38" t="s">
        <v>1002</v>
      </c>
      <c r="O17" s="38" t="s">
        <v>777</v>
      </c>
      <c r="P17" s="40" t="s">
        <v>404</v>
      </c>
      <c r="Q17" s="38" t="s">
        <v>1054</v>
      </c>
      <c r="R17" s="63" t="s">
        <v>937</v>
      </c>
      <c r="U17" s="38" t="s">
        <v>606</v>
      </c>
    </row>
    <row r="18" spans="1:21">
      <c r="A18" s="38" t="s">
        <v>438</v>
      </c>
      <c r="B18" s="38"/>
      <c r="C18" s="38" t="s">
        <v>254</v>
      </c>
      <c r="D18" s="38" t="s">
        <v>191</v>
      </c>
      <c r="E18" s="38" t="s">
        <v>170</v>
      </c>
      <c r="G18" s="38" t="s">
        <v>889</v>
      </c>
      <c r="H18" s="40" t="s">
        <v>289</v>
      </c>
      <c r="I18" s="38" t="s">
        <v>611</v>
      </c>
      <c r="K18" s="53" t="s">
        <v>376</v>
      </c>
      <c r="M18" s="38" t="s">
        <v>1003</v>
      </c>
      <c r="O18" s="38" t="s">
        <v>781</v>
      </c>
      <c r="P18" s="38" t="s">
        <v>405</v>
      </c>
      <c r="Q18" s="54"/>
      <c r="U18" s="38" t="s">
        <v>608</v>
      </c>
    </row>
    <row r="19" spans="1:21">
      <c r="A19" s="38" t="s">
        <v>439</v>
      </c>
      <c r="B19" s="38"/>
      <c r="C19" s="38" t="s">
        <v>255</v>
      </c>
      <c r="D19" s="38" t="s">
        <v>192</v>
      </c>
      <c r="E19" s="38" t="s">
        <v>171</v>
      </c>
      <c r="G19" s="39" t="s">
        <v>577</v>
      </c>
      <c r="H19" s="40" t="s">
        <v>288</v>
      </c>
      <c r="I19" s="38" t="s">
        <v>612</v>
      </c>
      <c r="K19" s="53" t="s">
        <v>377</v>
      </c>
      <c r="M19" s="38" t="s">
        <v>1004</v>
      </c>
      <c r="O19" s="38" t="s">
        <v>782</v>
      </c>
      <c r="P19" s="38" t="s">
        <v>406</v>
      </c>
      <c r="Q19" s="54"/>
      <c r="U19" s="63" t="s">
        <v>774</v>
      </c>
    </row>
    <row r="20" spans="1:21">
      <c r="A20" s="38" t="s">
        <v>440</v>
      </c>
      <c r="B20" s="38"/>
      <c r="C20" s="38" t="s">
        <v>256</v>
      </c>
      <c r="D20" s="38" t="s">
        <v>193</v>
      </c>
      <c r="E20" s="38" t="s">
        <v>172</v>
      </c>
      <c r="G20" s="39" t="s">
        <v>578</v>
      </c>
      <c r="H20" s="40" t="s">
        <v>478</v>
      </c>
      <c r="I20" s="43" t="s">
        <v>613</v>
      </c>
      <c r="K20" s="53" t="s">
        <v>378</v>
      </c>
      <c r="M20" s="38" t="s">
        <v>1005</v>
      </c>
      <c r="O20" s="38" t="s">
        <v>783</v>
      </c>
      <c r="P20" s="38" t="s">
        <v>407</v>
      </c>
      <c r="U20" s="63" t="s">
        <v>901</v>
      </c>
    </row>
    <row r="21" spans="1:21">
      <c r="A21" s="38" t="s">
        <v>441</v>
      </c>
      <c r="B21" s="38"/>
      <c r="C21" s="38" t="s">
        <v>257</v>
      </c>
      <c r="D21" s="38" t="s">
        <v>194</v>
      </c>
      <c r="E21" s="42" t="s">
        <v>844</v>
      </c>
      <c r="G21" s="39" t="s">
        <v>579</v>
      </c>
      <c r="H21" s="40" t="s">
        <v>715</v>
      </c>
      <c r="I21" s="50" t="s">
        <v>757</v>
      </c>
      <c r="K21" s="53" t="s">
        <v>379</v>
      </c>
      <c r="M21" s="38" t="s">
        <v>1006</v>
      </c>
      <c r="O21" s="38" t="s">
        <v>784</v>
      </c>
      <c r="P21" s="38" t="s">
        <v>408</v>
      </c>
      <c r="U21" s="63" t="s">
        <v>920</v>
      </c>
    </row>
    <row r="22" spans="1:21">
      <c r="A22" s="38" t="s">
        <v>442</v>
      </c>
      <c r="B22" s="38"/>
      <c r="C22" s="38" t="s">
        <v>258</v>
      </c>
      <c r="D22" s="38" t="s">
        <v>195</v>
      </c>
      <c r="E22" s="38" t="s">
        <v>173</v>
      </c>
      <c r="G22" s="39" t="s">
        <v>580</v>
      </c>
      <c r="H22" s="40" t="s">
        <v>19</v>
      </c>
      <c r="I22" s="38" t="s">
        <v>1076</v>
      </c>
      <c r="K22" s="53" t="s">
        <v>380</v>
      </c>
      <c r="M22" s="38" t="s">
        <v>1007</v>
      </c>
      <c r="O22" s="38" t="s">
        <v>785</v>
      </c>
      <c r="P22" s="38" t="s">
        <v>409</v>
      </c>
      <c r="U22" s="63" t="s">
        <v>969</v>
      </c>
    </row>
    <row r="23" spans="1:21" ht="28.8">
      <c r="A23" s="38" t="s">
        <v>443</v>
      </c>
      <c r="B23" s="38"/>
      <c r="C23" s="38" t="s">
        <v>259</v>
      </c>
      <c r="D23" s="38" t="s">
        <v>196</v>
      </c>
      <c r="E23" s="38" t="s">
        <v>174</v>
      </c>
      <c r="G23" s="39" t="s">
        <v>581</v>
      </c>
      <c r="H23" s="40" t="s">
        <v>338</v>
      </c>
      <c r="I23" s="51" t="s">
        <v>872</v>
      </c>
      <c r="K23" s="53" t="s">
        <v>381</v>
      </c>
      <c r="M23" s="38" t="s">
        <v>1008</v>
      </c>
      <c r="O23" s="61" t="s">
        <v>976</v>
      </c>
      <c r="P23" s="38" t="s">
        <v>410</v>
      </c>
      <c r="Q23" s="21" t="s">
        <v>964</v>
      </c>
      <c r="U23" s="38" t="s">
        <v>917</v>
      </c>
    </row>
    <row r="24" spans="1:21" ht="28.8">
      <c r="A24" s="39" t="s">
        <v>538</v>
      </c>
      <c r="B24" s="39"/>
      <c r="C24" s="38" t="s">
        <v>260</v>
      </c>
      <c r="D24" s="38" t="s">
        <v>197</v>
      </c>
      <c r="E24" s="38" t="s">
        <v>444</v>
      </c>
      <c r="G24" s="38" t="s">
        <v>111</v>
      </c>
      <c r="H24" s="40" t="s">
        <v>472</v>
      </c>
      <c r="I24" s="51" t="s">
        <v>954</v>
      </c>
      <c r="K24" s="53" t="s">
        <v>382</v>
      </c>
      <c r="M24" s="38" t="s">
        <v>1009</v>
      </c>
      <c r="P24" s="38" t="s">
        <v>411</v>
      </c>
      <c r="Q24" s="21" t="s">
        <v>1059</v>
      </c>
      <c r="U24" s="38" t="s">
        <v>894</v>
      </c>
    </row>
    <row r="25" spans="1:21" ht="28.8">
      <c r="A25" s="39" t="s">
        <v>539</v>
      </c>
      <c r="B25" s="39"/>
      <c r="C25" s="38" t="s">
        <v>261</v>
      </c>
      <c r="D25" s="38" t="s">
        <v>198</v>
      </c>
      <c r="E25" s="38" t="s">
        <v>445</v>
      </c>
      <c r="G25" s="38" t="s">
        <v>101</v>
      </c>
      <c r="H25" s="40" t="s">
        <v>728</v>
      </c>
      <c r="I25" s="79" t="s">
        <v>1019</v>
      </c>
      <c r="K25" s="53" t="s">
        <v>383</v>
      </c>
      <c r="M25" s="38" t="s">
        <v>1010</v>
      </c>
      <c r="P25" s="38" t="s">
        <v>412</v>
      </c>
      <c r="Q25" s="21" t="s">
        <v>1058</v>
      </c>
      <c r="U25" s="38" t="s">
        <v>521</v>
      </c>
    </row>
    <row r="26" spans="1:21" ht="28.8">
      <c r="A26" s="39" t="s">
        <v>540</v>
      </c>
      <c r="B26" s="39"/>
      <c r="C26" s="38" t="s">
        <v>262</v>
      </c>
      <c r="D26" s="38" t="s">
        <v>199</v>
      </c>
      <c r="E26" s="38" t="s">
        <v>446</v>
      </c>
      <c r="G26" s="38" t="s">
        <v>104</v>
      </c>
      <c r="H26" s="40" t="s">
        <v>729</v>
      </c>
      <c r="I26" s="52" t="s">
        <v>955</v>
      </c>
      <c r="K26" s="53" t="s">
        <v>385</v>
      </c>
      <c r="M26" s="38" t="s">
        <v>1011</v>
      </c>
      <c r="P26" s="38" t="s">
        <v>413</v>
      </c>
      <c r="Q26" s="21" t="s">
        <v>1060</v>
      </c>
      <c r="U26" s="38" t="s">
        <v>522</v>
      </c>
    </row>
    <row r="27" spans="1:21">
      <c r="A27" s="39" t="s">
        <v>541</v>
      </c>
      <c r="B27" s="39"/>
      <c r="C27" s="38" t="s">
        <v>263</v>
      </c>
      <c r="D27" s="40" t="s">
        <v>200</v>
      </c>
      <c r="E27" s="38" t="s">
        <v>447</v>
      </c>
      <c r="G27" s="38" t="s">
        <v>105</v>
      </c>
      <c r="H27" s="40" t="s">
        <v>731</v>
      </c>
      <c r="K27" s="53" t="s">
        <v>386</v>
      </c>
      <c r="M27" s="38" t="s">
        <v>1012</v>
      </c>
      <c r="P27" s="38" t="s">
        <v>414</v>
      </c>
      <c r="Q27" s="21" t="s">
        <v>1061</v>
      </c>
      <c r="U27" s="38" t="s">
        <v>929</v>
      </c>
    </row>
    <row r="28" spans="1:21">
      <c r="A28" s="39" t="s">
        <v>542</v>
      </c>
      <c r="B28" s="39"/>
      <c r="C28" s="38" t="s">
        <v>264</v>
      </c>
      <c r="D28" s="40" t="s">
        <v>201</v>
      </c>
      <c r="E28" s="38" t="s">
        <v>448</v>
      </c>
      <c r="G28" s="38" t="s">
        <v>106</v>
      </c>
      <c r="H28" s="40" t="s">
        <v>346</v>
      </c>
      <c r="K28" s="53" t="s">
        <v>387</v>
      </c>
      <c r="M28" s="38" t="s">
        <v>1013</v>
      </c>
      <c r="P28" s="38" t="s">
        <v>415</v>
      </c>
      <c r="Q28" s="21" t="s">
        <v>1063</v>
      </c>
    </row>
    <row r="29" spans="1:21" ht="28.8">
      <c r="A29" s="39" t="s">
        <v>561</v>
      </c>
      <c r="B29" s="39"/>
      <c r="C29" s="38" t="s">
        <v>265</v>
      </c>
      <c r="D29" s="40" t="s">
        <v>202</v>
      </c>
      <c r="E29" s="38" t="s">
        <v>449</v>
      </c>
      <c r="G29" s="38" t="s">
        <v>107</v>
      </c>
      <c r="H29" s="40" t="s">
        <v>347</v>
      </c>
      <c r="K29" s="53" t="s">
        <v>388</v>
      </c>
      <c r="M29" s="38" t="s">
        <v>1014</v>
      </c>
      <c r="P29" s="38" t="s">
        <v>416</v>
      </c>
      <c r="Q29" s="21" t="s">
        <v>1064</v>
      </c>
    </row>
    <row r="30" spans="1:21" ht="28.8">
      <c r="A30" s="39" t="s">
        <v>570</v>
      </c>
      <c r="B30" s="39"/>
      <c r="C30" s="38" t="s">
        <v>266</v>
      </c>
      <c r="D30" s="40" t="s">
        <v>203</v>
      </c>
      <c r="E30" s="38" t="s">
        <v>450</v>
      </c>
      <c r="G30" s="38" t="s">
        <v>103</v>
      </c>
      <c r="H30" s="40" t="s">
        <v>322</v>
      </c>
      <c r="K30" s="53" t="s">
        <v>900</v>
      </c>
      <c r="M30" s="38" t="s">
        <v>1015</v>
      </c>
      <c r="P30" s="38" t="s">
        <v>417</v>
      </c>
      <c r="Q30" s="21" t="s">
        <v>1065</v>
      </c>
    </row>
    <row r="31" spans="1:21">
      <c r="A31" s="38" t="s">
        <v>594</v>
      </c>
      <c r="B31" s="38"/>
      <c r="C31" s="38" t="s">
        <v>267</v>
      </c>
      <c r="D31" s="40" t="s">
        <v>204</v>
      </c>
      <c r="E31" s="38" t="s">
        <v>451</v>
      </c>
      <c r="G31" s="38" t="s">
        <v>100</v>
      </c>
      <c r="H31" s="40" t="s">
        <v>22</v>
      </c>
      <c r="K31" s="54" t="s">
        <v>919</v>
      </c>
      <c r="M31" s="43" t="s">
        <v>1016</v>
      </c>
      <c r="P31" s="38" t="s">
        <v>418</v>
      </c>
      <c r="Q31" s="21" t="s">
        <v>1062</v>
      </c>
    </row>
    <row r="32" spans="1:21">
      <c r="A32" s="38" t="s">
        <v>601</v>
      </c>
      <c r="B32" s="38"/>
      <c r="C32" s="38" t="s">
        <v>268</v>
      </c>
      <c r="D32" s="40" t="s">
        <v>205</v>
      </c>
      <c r="E32" s="38" t="s">
        <v>452</v>
      </c>
      <c r="G32" s="38" t="s">
        <v>102</v>
      </c>
      <c r="H32" s="40" t="s">
        <v>737</v>
      </c>
      <c r="K32" s="54" t="s">
        <v>518</v>
      </c>
      <c r="P32" s="38" t="s">
        <v>419</v>
      </c>
      <c r="Q32" s="21" t="s">
        <v>1056</v>
      </c>
    </row>
    <row r="33" spans="1:17">
      <c r="A33" s="38" t="s">
        <v>956</v>
      </c>
      <c r="B33" s="38"/>
      <c r="C33" s="38" t="s">
        <v>269</v>
      </c>
      <c r="D33" s="38" t="s">
        <v>206</v>
      </c>
      <c r="E33" s="38" t="s">
        <v>453</v>
      </c>
      <c r="G33" s="38" t="s">
        <v>433</v>
      </c>
      <c r="H33" s="40" t="s">
        <v>738</v>
      </c>
      <c r="P33" s="62" t="s">
        <v>420</v>
      </c>
      <c r="Q33" s="21" t="s">
        <v>1057</v>
      </c>
    </row>
    <row r="34" spans="1:17">
      <c r="A34" s="38" t="s">
        <v>875</v>
      </c>
      <c r="B34" s="38"/>
      <c r="C34" s="38" t="s">
        <v>270</v>
      </c>
      <c r="D34" s="38" t="s">
        <v>207</v>
      </c>
      <c r="E34" s="38" t="s">
        <v>454</v>
      </c>
      <c r="G34" s="38" t="s">
        <v>434</v>
      </c>
      <c r="H34" s="40" t="s">
        <v>739</v>
      </c>
      <c r="P34" s="38" t="s">
        <v>421</v>
      </c>
      <c r="Q34" s="21" t="s">
        <v>1055</v>
      </c>
    </row>
    <row r="35" spans="1:17">
      <c r="A35" s="38" t="s">
        <v>921</v>
      </c>
      <c r="B35" s="38"/>
      <c r="C35" s="38" t="s">
        <v>271</v>
      </c>
      <c r="D35" s="38" t="s">
        <v>208</v>
      </c>
      <c r="E35" s="38" t="s">
        <v>455</v>
      </c>
      <c r="G35" s="43" t="s">
        <v>432</v>
      </c>
      <c r="H35" s="40" t="s">
        <v>740</v>
      </c>
      <c r="P35" s="38" t="s">
        <v>422</v>
      </c>
      <c r="Q35" s="21" t="s">
        <v>1054</v>
      </c>
    </row>
    <row r="36" spans="1:17">
      <c r="A36" s="38" t="s">
        <v>716</v>
      </c>
      <c r="B36" s="38"/>
      <c r="C36" s="38" t="s">
        <v>272</v>
      </c>
      <c r="D36" s="40" t="s">
        <v>209</v>
      </c>
      <c r="E36" s="38" t="s">
        <v>456</v>
      </c>
      <c r="G36" s="38" t="s">
        <v>435</v>
      </c>
      <c r="H36" s="40" t="s">
        <v>356</v>
      </c>
      <c r="P36" s="38" t="s">
        <v>423</v>
      </c>
    </row>
    <row r="37" spans="1:17">
      <c r="A37" s="38" t="s">
        <v>717</v>
      </c>
      <c r="B37" s="38"/>
      <c r="C37" s="38" t="s">
        <v>273</v>
      </c>
      <c r="D37" s="40" t="s">
        <v>210</v>
      </c>
      <c r="E37" s="38" t="s">
        <v>457</v>
      </c>
      <c r="G37" s="38" t="s">
        <v>110</v>
      </c>
      <c r="H37" s="40" t="s">
        <v>357</v>
      </c>
      <c r="P37" s="38" t="s">
        <v>424</v>
      </c>
    </row>
    <row r="38" spans="1:17">
      <c r="A38" s="38" t="s">
        <v>719</v>
      </c>
      <c r="B38" s="38"/>
      <c r="C38" s="38" t="s">
        <v>274</v>
      </c>
      <c r="D38" s="40" t="s">
        <v>211</v>
      </c>
      <c r="E38" s="38" t="s">
        <v>458</v>
      </c>
      <c r="G38" s="38" t="s">
        <v>108</v>
      </c>
      <c r="H38" s="40" t="s">
        <v>743</v>
      </c>
      <c r="P38" s="38" t="s">
        <v>425</v>
      </c>
    </row>
    <row r="39" spans="1:17">
      <c r="A39" s="38" t="s">
        <v>718</v>
      </c>
      <c r="B39" s="38"/>
      <c r="C39" s="38" t="s">
        <v>275</v>
      </c>
      <c r="D39" s="40" t="s">
        <v>212</v>
      </c>
      <c r="E39" s="38" t="s">
        <v>459</v>
      </c>
      <c r="G39" s="38" t="s">
        <v>112</v>
      </c>
      <c r="H39" s="40" t="s">
        <v>330</v>
      </c>
      <c r="P39" s="38" t="s">
        <v>426</v>
      </c>
    </row>
    <row r="40" spans="1:17">
      <c r="A40" s="38" t="s">
        <v>720</v>
      </c>
      <c r="B40" s="38"/>
      <c r="C40" s="38" t="s">
        <v>471</v>
      </c>
      <c r="D40" s="40" t="s">
        <v>213</v>
      </c>
      <c r="E40" s="43" t="s">
        <v>820</v>
      </c>
      <c r="G40" s="43" t="s">
        <v>109</v>
      </c>
      <c r="H40" s="40" t="s">
        <v>748</v>
      </c>
      <c r="P40" s="38" t="s">
        <v>427</v>
      </c>
    </row>
    <row r="41" spans="1:17">
      <c r="A41" s="38" t="s">
        <v>721</v>
      </c>
      <c r="B41" s="38"/>
      <c r="C41" s="38" t="s">
        <v>529</v>
      </c>
      <c r="D41" s="38" t="s">
        <v>214</v>
      </c>
      <c r="E41" s="39" t="s">
        <v>567</v>
      </c>
      <c r="G41" s="38" t="s">
        <v>113</v>
      </c>
      <c r="H41" s="40" t="s">
        <v>750</v>
      </c>
      <c r="P41" s="38" t="s">
        <v>428</v>
      </c>
    </row>
    <row r="42" spans="1:17">
      <c r="A42" s="38" t="s">
        <v>722</v>
      </c>
      <c r="B42" s="38"/>
      <c r="C42" s="38" t="s">
        <v>928</v>
      </c>
      <c r="D42" s="38" t="s">
        <v>215</v>
      </c>
      <c r="E42" s="39" t="s">
        <v>568</v>
      </c>
      <c r="G42" s="38" t="s">
        <v>114</v>
      </c>
      <c r="H42" s="40" t="s">
        <v>335</v>
      </c>
      <c r="P42" s="38" t="s">
        <v>429</v>
      </c>
    </row>
    <row r="43" spans="1:17">
      <c r="A43" s="38" t="s">
        <v>724</v>
      </c>
      <c r="B43" s="38"/>
      <c r="D43" s="38" t="s">
        <v>216</v>
      </c>
      <c r="E43" s="44" t="s">
        <v>569</v>
      </c>
      <c r="G43" s="38" t="s">
        <v>115</v>
      </c>
      <c r="H43" s="40" t="s">
        <v>336</v>
      </c>
      <c r="P43" s="38" t="s">
        <v>430</v>
      </c>
    </row>
    <row r="44" spans="1:17">
      <c r="A44" s="38" t="s">
        <v>723</v>
      </c>
      <c r="B44" s="38"/>
      <c r="D44" s="38" t="s">
        <v>217</v>
      </c>
      <c r="E44" s="38" t="s">
        <v>824</v>
      </c>
      <c r="G44" s="38" t="s">
        <v>116</v>
      </c>
      <c r="H44" s="40" t="s">
        <v>751</v>
      </c>
      <c r="P44" s="40" t="s">
        <v>942</v>
      </c>
    </row>
    <row r="45" spans="1:17">
      <c r="A45" s="38" t="s">
        <v>725</v>
      </c>
      <c r="B45" s="38"/>
      <c r="D45" s="38" t="s">
        <v>218</v>
      </c>
      <c r="E45" s="38" t="s">
        <v>837</v>
      </c>
      <c r="G45" s="38" t="s">
        <v>117</v>
      </c>
      <c r="H45" s="40" t="s">
        <v>337</v>
      </c>
      <c r="P45" s="40" t="s">
        <v>943</v>
      </c>
    </row>
    <row r="46" spans="1:17">
      <c r="A46" s="38" t="s">
        <v>726</v>
      </c>
      <c r="B46" s="38"/>
      <c r="D46" s="38" t="s">
        <v>219</v>
      </c>
      <c r="E46" s="38" t="s">
        <v>849</v>
      </c>
      <c r="G46" s="38" t="s">
        <v>128</v>
      </c>
      <c r="H46" s="40" t="s">
        <v>547</v>
      </c>
      <c r="P46" s="40" t="s">
        <v>944</v>
      </c>
    </row>
    <row r="47" spans="1:17">
      <c r="A47" s="38" t="s">
        <v>786</v>
      </c>
      <c r="B47" s="38"/>
      <c r="D47" s="38" t="s">
        <v>220</v>
      </c>
      <c r="E47" s="38" t="s">
        <v>850</v>
      </c>
      <c r="G47" s="43" t="s">
        <v>129</v>
      </c>
      <c r="H47" s="40" t="s">
        <v>548</v>
      </c>
      <c r="P47" s="40" t="s">
        <v>945</v>
      </c>
    </row>
    <row r="48" spans="1:17">
      <c r="A48" s="38" t="s">
        <v>864</v>
      </c>
      <c r="B48" s="38"/>
      <c r="D48" s="38" t="s">
        <v>221</v>
      </c>
      <c r="E48" s="38" t="s">
        <v>863</v>
      </c>
      <c r="G48" s="43" t="s">
        <v>890</v>
      </c>
      <c r="H48" s="40" t="s">
        <v>549</v>
      </c>
      <c r="P48" s="40" t="s">
        <v>940</v>
      </c>
    </row>
    <row r="49" spans="1:16">
      <c r="A49" s="38" t="s">
        <v>876</v>
      </c>
      <c r="B49" s="38"/>
      <c r="D49" s="38" t="s">
        <v>222</v>
      </c>
      <c r="E49" s="38" t="s">
        <v>787</v>
      </c>
      <c r="G49" s="43" t="s">
        <v>523</v>
      </c>
      <c r="H49" s="40" t="s">
        <v>473</v>
      </c>
      <c r="P49" s="40" t="s">
        <v>941</v>
      </c>
    </row>
    <row r="50" spans="1:16">
      <c r="A50" s="38" t="s">
        <v>877</v>
      </c>
      <c r="B50" s="38"/>
      <c r="D50" s="38" t="s">
        <v>223</v>
      </c>
      <c r="E50" s="38" t="s">
        <v>789</v>
      </c>
      <c r="G50" s="43" t="s">
        <v>528</v>
      </c>
      <c r="H50" s="40" t="s">
        <v>331</v>
      </c>
      <c r="P50" s="40" t="s">
        <v>486</v>
      </c>
    </row>
    <row r="51" spans="1:16">
      <c r="A51" s="38" t="s">
        <v>878</v>
      </c>
      <c r="B51" s="38"/>
      <c r="D51" s="38" t="s">
        <v>460</v>
      </c>
      <c r="E51" s="38" t="s">
        <v>792</v>
      </c>
      <c r="H51" s="40" t="s">
        <v>333</v>
      </c>
      <c r="P51" s="40" t="s">
        <v>487</v>
      </c>
    </row>
    <row r="52" spans="1:16">
      <c r="A52" s="38" t="s">
        <v>879</v>
      </c>
      <c r="B52" s="38"/>
      <c r="D52" s="38" t="s">
        <v>461</v>
      </c>
      <c r="E52" s="38" t="s">
        <v>793</v>
      </c>
      <c r="H52" s="40" t="s">
        <v>476</v>
      </c>
      <c r="P52" s="40" t="s">
        <v>488</v>
      </c>
    </row>
    <row r="53" spans="1:16">
      <c r="A53" s="38" t="s">
        <v>880</v>
      </c>
      <c r="B53" s="38"/>
      <c r="D53" s="38" t="s">
        <v>462</v>
      </c>
      <c r="E53" s="38" t="s">
        <v>795</v>
      </c>
      <c r="H53" s="40" t="s">
        <v>279</v>
      </c>
      <c r="P53" s="40" t="s">
        <v>489</v>
      </c>
    </row>
    <row r="54" spans="1:16">
      <c r="A54" s="38" t="s">
        <v>922</v>
      </c>
      <c r="B54" s="38"/>
      <c r="D54" s="38" t="s">
        <v>463</v>
      </c>
      <c r="E54" s="38" t="s">
        <v>796</v>
      </c>
      <c r="H54" s="40" t="s">
        <v>278</v>
      </c>
      <c r="P54" s="40" t="s">
        <v>490</v>
      </c>
    </row>
    <row r="55" spans="1:16">
      <c r="A55" s="38" t="s">
        <v>947</v>
      </c>
      <c r="B55" s="43"/>
      <c r="D55" s="38" t="s">
        <v>464</v>
      </c>
      <c r="E55" s="38" t="s">
        <v>797</v>
      </c>
      <c r="H55" s="40" t="s">
        <v>332</v>
      </c>
    </row>
    <row r="56" spans="1:16">
      <c r="D56" s="38" t="s">
        <v>465</v>
      </c>
      <c r="E56" s="38" t="s">
        <v>798</v>
      </c>
      <c r="H56" s="40" t="s">
        <v>866</v>
      </c>
    </row>
    <row r="57" spans="1:16">
      <c r="D57" s="40" t="s">
        <v>466</v>
      </c>
      <c r="E57" s="38" t="s">
        <v>799</v>
      </c>
      <c r="H57" s="40" t="s">
        <v>867</v>
      </c>
    </row>
    <row r="58" spans="1:16">
      <c r="D58" s="40" t="s">
        <v>467</v>
      </c>
      <c r="E58" s="38" t="s">
        <v>800</v>
      </c>
      <c r="H58" s="46" t="s">
        <v>865</v>
      </c>
    </row>
    <row r="59" spans="1:16">
      <c r="D59" s="38" t="s">
        <v>468</v>
      </c>
      <c r="E59" s="38" t="s">
        <v>801</v>
      </c>
      <c r="H59" s="40" t="s">
        <v>873</v>
      </c>
    </row>
    <row r="60" spans="1:16">
      <c r="D60" s="38" t="s">
        <v>469</v>
      </c>
      <c r="E60" s="38" t="s">
        <v>802</v>
      </c>
      <c r="H60" s="40" t="s">
        <v>571</v>
      </c>
    </row>
    <row r="61" spans="1:16">
      <c r="D61" s="38" t="s">
        <v>470</v>
      </c>
      <c r="E61" s="38" t="s">
        <v>803</v>
      </c>
      <c r="H61" s="40" t="s">
        <v>572</v>
      </c>
    </row>
    <row r="62" spans="1:16">
      <c r="D62" s="38" t="s">
        <v>727</v>
      </c>
      <c r="E62" s="38" t="s">
        <v>804</v>
      </c>
      <c r="H62" s="40" t="s">
        <v>574</v>
      </c>
    </row>
    <row r="63" spans="1:16">
      <c r="D63" s="38" t="s">
        <v>551</v>
      </c>
      <c r="E63" s="38" t="s">
        <v>805</v>
      </c>
      <c r="H63" s="40" t="s">
        <v>882</v>
      </c>
    </row>
    <row r="64" spans="1:16">
      <c r="D64" s="38" t="s">
        <v>552</v>
      </c>
      <c r="E64" s="38" t="s">
        <v>809</v>
      </c>
      <c r="H64" s="40" t="s">
        <v>348</v>
      </c>
    </row>
    <row r="65" spans="4:8">
      <c r="D65" s="38" t="s">
        <v>553</v>
      </c>
      <c r="E65" s="38" t="s">
        <v>811</v>
      </c>
      <c r="H65" s="40" t="s">
        <v>475</v>
      </c>
    </row>
    <row r="66" spans="4:8">
      <c r="D66" s="38" t="s">
        <v>565</v>
      </c>
      <c r="E66" s="38" t="s">
        <v>812</v>
      </c>
      <c r="H66" s="40" t="s">
        <v>575</v>
      </c>
    </row>
    <row r="67" spans="4:8">
      <c r="D67" s="38" t="s">
        <v>566</v>
      </c>
      <c r="E67" s="38" t="s">
        <v>814</v>
      </c>
      <c r="H67" s="40" t="s">
        <v>474</v>
      </c>
    </row>
    <row r="68" spans="4:8">
      <c r="D68" s="38" t="s">
        <v>761</v>
      </c>
      <c r="E68" s="38" t="s">
        <v>817</v>
      </c>
      <c r="H68" s="40" t="s">
        <v>277</v>
      </c>
    </row>
    <row r="69" spans="4:8">
      <c r="D69" s="38" t="s">
        <v>760</v>
      </c>
      <c r="E69" s="38" t="s">
        <v>818</v>
      </c>
      <c r="H69" s="40" t="s">
        <v>323</v>
      </c>
    </row>
    <row r="70" spans="4:8">
      <c r="D70" s="38" t="s">
        <v>764</v>
      </c>
      <c r="E70" s="38" t="s">
        <v>821</v>
      </c>
      <c r="H70" s="40" t="s">
        <v>296</v>
      </c>
    </row>
    <row r="71" spans="4:8">
      <c r="D71" s="38" t="s">
        <v>765</v>
      </c>
      <c r="E71" s="38" t="s">
        <v>827</v>
      </c>
      <c r="H71" s="40" t="s">
        <v>891</v>
      </c>
    </row>
    <row r="72" spans="4:8">
      <c r="D72" s="38" t="s">
        <v>766</v>
      </c>
      <c r="E72" s="38" t="s">
        <v>828</v>
      </c>
      <c r="H72" s="40" t="s">
        <v>893</v>
      </c>
    </row>
    <row r="73" spans="4:8">
      <c r="D73" s="38" t="s">
        <v>767</v>
      </c>
      <c r="E73" s="38" t="s">
        <v>831</v>
      </c>
      <c r="H73" s="40" t="s">
        <v>317</v>
      </c>
    </row>
    <row r="74" spans="4:8">
      <c r="D74" s="38" t="s">
        <v>768</v>
      </c>
      <c r="E74" s="38" t="s">
        <v>833</v>
      </c>
      <c r="H74" s="40" t="s">
        <v>485</v>
      </c>
    </row>
    <row r="75" spans="4:8">
      <c r="D75" s="38" t="s">
        <v>770</v>
      </c>
      <c r="E75" s="38" t="s">
        <v>835</v>
      </c>
      <c r="H75" s="40" t="s">
        <v>303</v>
      </c>
    </row>
    <row r="76" spans="4:8">
      <c r="D76" s="38" t="s">
        <v>771</v>
      </c>
      <c r="E76" s="38" t="s">
        <v>836</v>
      </c>
      <c r="H76" s="40" t="s">
        <v>300</v>
      </c>
    </row>
    <row r="77" spans="4:8">
      <c r="D77" s="40" t="s">
        <v>769</v>
      </c>
      <c r="E77" s="38" t="s">
        <v>838</v>
      </c>
      <c r="H77" s="40" t="s">
        <v>301</v>
      </c>
    </row>
    <row r="78" spans="4:8">
      <c r="D78" s="41" t="s">
        <v>762</v>
      </c>
      <c r="E78" s="38" t="s">
        <v>839</v>
      </c>
      <c r="H78" s="40" t="s">
        <v>897</v>
      </c>
    </row>
    <row r="79" spans="4:8">
      <c r="D79" s="41" t="s">
        <v>763</v>
      </c>
      <c r="E79" s="38" t="s">
        <v>840</v>
      </c>
      <c r="H79" s="40" t="s">
        <v>899</v>
      </c>
    </row>
    <row r="80" spans="4:8">
      <c r="E80" s="38" t="s">
        <v>841</v>
      </c>
      <c r="H80" s="40" t="s">
        <v>479</v>
      </c>
    </row>
    <row r="81" spans="5:8">
      <c r="E81" s="38" t="s">
        <v>843</v>
      </c>
      <c r="H81" s="40" t="s">
        <v>480</v>
      </c>
    </row>
    <row r="82" spans="5:8">
      <c r="E82" s="38" t="s">
        <v>848</v>
      </c>
      <c r="H82" s="40" t="s">
        <v>595</v>
      </c>
    </row>
    <row r="83" spans="5:8">
      <c r="E83" s="38" t="s">
        <v>852</v>
      </c>
      <c r="H83" s="40" t="s">
        <v>902</v>
      </c>
    </row>
    <row r="84" spans="5:8" ht="26.4">
      <c r="E84" s="38" t="s">
        <v>853</v>
      </c>
      <c r="H84" s="47" t="s">
        <v>596</v>
      </c>
    </row>
    <row r="85" spans="5:8">
      <c r="E85" s="38" t="s">
        <v>858</v>
      </c>
      <c r="H85" s="40" t="s">
        <v>597</v>
      </c>
    </row>
    <row r="86" spans="5:8">
      <c r="E86" s="38" t="s">
        <v>859</v>
      </c>
      <c r="H86" s="40" t="s">
        <v>302</v>
      </c>
    </row>
    <row r="87" spans="5:8">
      <c r="E87" s="38" t="s">
        <v>948</v>
      </c>
      <c r="H87" s="40" t="s">
        <v>319</v>
      </c>
    </row>
    <row r="88" spans="5:8">
      <c r="E88" s="38" t="s">
        <v>950</v>
      </c>
      <c r="H88" s="40" t="s">
        <v>318</v>
      </c>
    </row>
    <row r="89" spans="5:8">
      <c r="E89" s="38" t="s">
        <v>951</v>
      </c>
      <c r="H89" s="40" t="s">
        <v>484</v>
      </c>
    </row>
    <row r="90" spans="5:8">
      <c r="E90" s="38" t="s">
        <v>971</v>
      </c>
      <c r="H90" s="40" t="s">
        <v>321</v>
      </c>
    </row>
    <row r="91" spans="5:8">
      <c r="E91" s="40" t="s">
        <v>788</v>
      </c>
      <c r="H91" s="40" t="s">
        <v>320</v>
      </c>
    </row>
    <row r="92" spans="5:8">
      <c r="E92" s="40" t="s">
        <v>790</v>
      </c>
      <c r="H92" s="40" t="s">
        <v>334</v>
      </c>
    </row>
    <row r="93" spans="5:8">
      <c r="E93" s="40" t="s">
        <v>791</v>
      </c>
      <c r="H93" s="40" t="s">
        <v>325</v>
      </c>
    </row>
    <row r="94" spans="5:8">
      <c r="E94" s="40" t="s">
        <v>794</v>
      </c>
      <c r="H94" s="40" t="s">
        <v>311</v>
      </c>
    </row>
    <row r="95" spans="5:8">
      <c r="E95" s="40" t="s">
        <v>806</v>
      </c>
      <c r="H95" s="45" t="s">
        <v>306</v>
      </c>
    </row>
    <row r="96" spans="5:8">
      <c r="E96" s="40" t="s">
        <v>807</v>
      </c>
      <c r="H96" s="40" t="s">
        <v>307</v>
      </c>
    </row>
    <row r="97" spans="5:8">
      <c r="E97" s="40" t="s">
        <v>808</v>
      </c>
      <c r="H97" s="40" t="s">
        <v>305</v>
      </c>
    </row>
    <row r="98" spans="5:8">
      <c r="E98" s="40" t="s">
        <v>810</v>
      </c>
      <c r="H98" s="45" t="s">
        <v>309</v>
      </c>
    </row>
    <row r="99" spans="5:8">
      <c r="E99" s="40" t="s">
        <v>813</v>
      </c>
      <c r="H99" s="40" t="s">
        <v>308</v>
      </c>
    </row>
    <row r="100" spans="5:8">
      <c r="E100" s="40" t="s">
        <v>815</v>
      </c>
      <c r="H100" s="40" t="s">
        <v>352</v>
      </c>
    </row>
    <row r="101" spans="5:8">
      <c r="E101" s="40" t="s">
        <v>816</v>
      </c>
      <c r="H101" s="36" t="s">
        <v>535</v>
      </c>
    </row>
    <row r="102" spans="5:8">
      <c r="E102" s="40" t="s">
        <v>819</v>
      </c>
      <c r="H102" s="45" t="s">
        <v>353</v>
      </c>
    </row>
    <row r="103" spans="5:8">
      <c r="E103" s="40" t="s">
        <v>822</v>
      </c>
      <c r="H103" s="40" t="s">
        <v>354</v>
      </c>
    </row>
    <row r="104" spans="5:8">
      <c r="E104" s="40" t="s">
        <v>823</v>
      </c>
      <c r="H104" s="40" t="s">
        <v>355</v>
      </c>
    </row>
    <row r="105" spans="5:8">
      <c r="E105" s="40" t="s">
        <v>825</v>
      </c>
      <c r="H105" s="40" t="s">
        <v>905</v>
      </c>
    </row>
    <row r="106" spans="5:8">
      <c r="E106" s="40" t="s">
        <v>826</v>
      </c>
      <c r="H106" s="45" t="s">
        <v>290</v>
      </c>
    </row>
    <row r="107" spans="5:8">
      <c r="E107" s="40" t="s">
        <v>829</v>
      </c>
      <c r="H107" s="40" t="s">
        <v>298</v>
      </c>
    </row>
    <row r="108" spans="5:8">
      <c r="E108" s="40" t="s">
        <v>830</v>
      </c>
      <c r="H108" s="45" t="s">
        <v>291</v>
      </c>
    </row>
    <row r="109" spans="5:8">
      <c r="E109" s="40" t="s">
        <v>832</v>
      </c>
      <c r="H109" s="45" t="s">
        <v>341</v>
      </c>
    </row>
    <row r="110" spans="5:8">
      <c r="E110" s="40" t="s">
        <v>834</v>
      </c>
      <c r="H110" s="45" t="s">
        <v>313</v>
      </c>
    </row>
    <row r="111" spans="5:8">
      <c r="E111" s="40" t="s">
        <v>842</v>
      </c>
      <c r="H111" s="40" t="s">
        <v>299</v>
      </c>
    </row>
    <row r="112" spans="5:8">
      <c r="E112" s="40" t="s">
        <v>845</v>
      </c>
      <c r="H112" s="40" t="s">
        <v>324</v>
      </c>
    </row>
    <row r="113" spans="5:8">
      <c r="E113" s="40" t="s">
        <v>846</v>
      </c>
      <c r="H113" s="40" t="s">
        <v>326</v>
      </c>
    </row>
    <row r="114" spans="5:8">
      <c r="E114" s="40" t="s">
        <v>847</v>
      </c>
      <c r="H114" s="40" t="s">
        <v>328</v>
      </c>
    </row>
    <row r="115" spans="5:8">
      <c r="E115" s="40" t="s">
        <v>851</v>
      </c>
      <c r="H115" s="40" t="s">
        <v>327</v>
      </c>
    </row>
    <row r="116" spans="5:8">
      <c r="E116" s="40" t="s">
        <v>854</v>
      </c>
      <c r="H116" s="40" t="s">
        <v>310</v>
      </c>
    </row>
    <row r="117" spans="5:8">
      <c r="E117" s="40" t="s">
        <v>855</v>
      </c>
      <c r="H117" s="40" t="s">
        <v>342</v>
      </c>
    </row>
    <row r="118" spans="5:8">
      <c r="E118" s="40" t="s">
        <v>856</v>
      </c>
      <c r="H118" s="40" t="s">
        <v>292</v>
      </c>
    </row>
    <row r="119" spans="5:8">
      <c r="E119" s="40" t="s">
        <v>857</v>
      </c>
      <c r="H119" s="40" t="s">
        <v>293</v>
      </c>
    </row>
    <row r="120" spans="5:8">
      <c r="E120" s="40" t="s">
        <v>520</v>
      </c>
      <c r="H120" s="40" t="s">
        <v>907</v>
      </c>
    </row>
    <row r="121" spans="5:8">
      <c r="E121" s="40" t="s">
        <v>860</v>
      </c>
      <c r="H121" s="40" t="s">
        <v>908</v>
      </c>
    </row>
    <row r="122" spans="5:8">
      <c r="E122" s="40" t="s">
        <v>861</v>
      </c>
      <c r="H122" s="40" t="s">
        <v>909</v>
      </c>
    </row>
    <row r="123" spans="5:8">
      <c r="E123" s="40" t="s">
        <v>862</v>
      </c>
      <c r="H123" s="40" t="s">
        <v>294</v>
      </c>
    </row>
    <row r="124" spans="5:8">
      <c r="E124" s="40" t="s">
        <v>534</v>
      </c>
      <c r="H124" s="40" t="s">
        <v>295</v>
      </c>
    </row>
    <row r="125" spans="5:8">
      <c r="E125" s="40" t="s">
        <v>533</v>
      </c>
      <c r="H125" s="40" t="s">
        <v>915</v>
      </c>
    </row>
    <row r="126" spans="5:8">
      <c r="H126" s="40" t="s">
        <v>916</v>
      </c>
    </row>
    <row r="127" spans="5:8">
      <c r="H127" s="40" t="s">
        <v>349</v>
      </c>
    </row>
    <row r="128" spans="5:8">
      <c r="H128" s="40" t="s">
        <v>918</v>
      </c>
    </row>
    <row r="129" spans="8:8">
      <c r="H129" s="40" t="s">
        <v>329</v>
      </c>
    </row>
    <row r="130" spans="8:8">
      <c r="H130" s="40" t="s">
        <v>350</v>
      </c>
    </row>
    <row r="131" spans="8:8">
      <c r="H131" s="40" t="s">
        <v>351</v>
      </c>
    </row>
    <row r="132" spans="8:8">
      <c r="H132" s="40" t="s">
        <v>477</v>
      </c>
    </row>
    <row r="133" spans="8:8">
      <c r="H133" s="40" t="s">
        <v>314</v>
      </c>
    </row>
    <row r="134" spans="8:8">
      <c r="H134" s="40" t="s">
        <v>315</v>
      </c>
    </row>
    <row r="135" spans="8:8">
      <c r="H135" s="40" t="s">
        <v>926</v>
      </c>
    </row>
    <row r="136" spans="8:8">
      <c r="H136" s="40" t="s">
        <v>930</v>
      </c>
    </row>
    <row r="137" spans="8:8">
      <c r="H137" s="40" t="s">
        <v>931</v>
      </c>
    </row>
    <row r="138" spans="8:8">
      <c r="H138" s="48" t="s">
        <v>934</v>
      </c>
    </row>
    <row r="139" spans="8:8">
      <c r="H139" s="40" t="s">
        <v>935</v>
      </c>
    </row>
    <row r="140" spans="8:8">
      <c r="H140" s="40" t="s">
        <v>936</v>
      </c>
    </row>
    <row r="141" spans="8:8">
      <c r="H141" s="40" t="s">
        <v>482</v>
      </c>
    </row>
    <row r="142" spans="8:8">
      <c r="H142" s="45" t="s">
        <v>481</v>
      </c>
    </row>
    <row r="143" spans="8:8">
      <c r="H143" s="40" t="s">
        <v>959</v>
      </c>
    </row>
    <row r="144" spans="8:8">
      <c r="H144" s="40" t="s">
        <v>483</v>
      </c>
    </row>
    <row r="145" spans="8:8">
      <c r="H145" s="40" t="s">
        <v>960</v>
      </c>
    </row>
    <row r="146" spans="8:8">
      <c r="H146" s="40" t="s">
        <v>358</v>
      </c>
    </row>
    <row r="147" spans="8:8">
      <c r="H147" s="40" t="s">
        <v>340</v>
      </c>
    </row>
    <row r="148" spans="8:8">
      <c r="H148" s="40" t="s">
        <v>961</v>
      </c>
    </row>
    <row r="149" spans="8:8">
      <c r="H149" s="40" t="s">
        <v>360</v>
      </c>
    </row>
    <row r="150" spans="8:8">
      <c r="H150" s="40" t="s">
        <v>343</v>
      </c>
    </row>
    <row r="151" spans="8:8">
      <c r="H151" s="40" t="s">
        <v>344</v>
      </c>
    </row>
    <row r="152" spans="8:8">
      <c r="H152" s="40" t="s">
        <v>345</v>
      </c>
    </row>
    <row r="153" spans="8:8">
      <c r="H153" s="40" t="s">
        <v>339</v>
      </c>
    </row>
    <row r="154" spans="8:8">
      <c r="H154" s="40" t="s">
        <v>962</v>
      </c>
    </row>
    <row r="155" spans="8:8">
      <c r="H155" s="40" t="s">
        <v>963</v>
      </c>
    </row>
    <row r="156" spans="8:8">
      <c r="H156" s="40" t="s">
        <v>970</v>
      </c>
    </row>
    <row r="157" spans="8:8">
      <c r="H157" s="36" t="s">
        <v>530</v>
      </c>
    </row>
    <row r="158" spans="8:8">
      <c r="H158" s="45" t="s">
        <v>316</v>
      </c>
    </row>
    <row r="159" spans="8:8">
      <c r="H159" s="40" t="s">
        <v>297</v>
      </c>
    </row>
    <row r="160" spans="8:8">
      <c r="H160" s="40" t="s">
        <v>359</v>
      </c>
    </row>
    <row r="161" spans="8:8">
      <c r="H161" s="40" t="s">
        <v>973</v>
      </c>
    </row>
    <row r="162" spans="8:8">
      <c r="H162" s="40" t="s">
        <v>312</v>
      </c>
    </row>
    <row r="163" spans="8:8">
      <c r="H163" s="40" t="s">
        <v>616</v>
      </c>
    </row>
    <row r="164" spans="8:8">
      <c r="H164" s="45" t="s">
        <v>617</v>
      </c>
    </row>
    <row r="165" spans="8:8">
      <c r="H165" s="45" t="s">
        <v>974</v>
      </c>
    </row>
    <row r="166" spans="8:8">
      <c r="H166" s="38" t="s">
        <v>532</v>
      </c>
    </row>
    <row r="167" spans="8:8">
      <c r="H167" s="45" t="s">
        <v>711</v>
      </c>
    </row>
    <row r="168" spans="8:8">
      <c r="H168" s="45" t="s">
        <v>714</v>
      </c>
    </row>
    <row r="169" spans="8:8">
      <c r="H169" s="45" t="s">
        <v>730</v>
      </c>
    </row>
    <row r="170" spans="8:8">
      <c r="H170" s="40" t="s">
        <v>732</v>
      </c>
    </row>
    <row r="171" spans="8:8">
      <c r="H171" s="36" t="s">
        <v>536</v>
      </c>
    </row>
    <row r="172" spans="8:8">
      <c r="H172" s="45" t="s">
        <v>733</v>
      </c>
    </row>
    <row r="173" spans="8:8">
      <c r="H173" s="40" t="s">
        <v>734</v>
      </c>
    </row>
    <row r="174" spans="8:8">
      <c r="H174" s="40" t="s">
        <v>735</v>
      </c>
    </row>
    <row r="175" spans="8:8">
      <c r="H175" s="45" t="s">
        <v>736</v>
      </c>
    </row>
    <row r="176" spans="8:8">
      <c r="H176" s="45" t="s">
        <v>741</v>
      </c>
    </row>
    <row r="177" spans="8:8">
      <c r="H177" s="45" t="s">
        <v>742</v>
      </c>
    </row>
    <row r="178" spans="8:8">
      <c r="H178" s="45" t="s">
        <v>749</v>
      </c>
    </row>
    <row r="179" spans="8:8">
      <c r="H179" s="40" t="s">
        <v>868</v>
      </c>
    </row>
    <row r="180" spans="8:8">
      <c r="H180" s="45" t="s">
        <v>869</v>
      </c>
    </row>
    <row r="181" spans="8:8">
      <c r="H181" s="45" t="s">
        <v>892</v>
      </c>
    </row>
    <row r="182" spans="8:8">
      <c r="H182" s="45" t="s">
        <v>903</v>
      </c>
    </row>
    <row r="183" spans="8:8">
      <c r="H183" s="45" t="s">
        <v>904</v>
      </c>
    </row>
    <row r="184" spans="8:8">
      <c r="H184" s="45" t="s">
        <v>906</v>
      </c>
    </row>
    <row r="185" spans="8:8">
      <c r="H185" s="40" t="s">
        <v>910</v>
      </c>
    </row>
    <row r="186" spans="8:8">
      <c r="H186" s="40" t="s">
        <v>911</v>
      </c>
    </row>
    <row r="187" spans="8:8">
      <c r="H187" s="45" t="s">
        <v>912</v>
      </c>
    </row>
    <row r="188" spans="8:8">
      <c r="H188" s="45" t="s">
        <v>946</v>
      </c>
    </row>
    <row r="189" spans="8:8">
      <c r="H189" s="45" t="s">
        <v>949</v>
      </c>
    </row>
    <row r="190" spans="8:8">
      <c r="H190" s="45" t="s">
        <v>957</v>
      </c>
    </row>
    <row r="191" spans="8:8">
      <c r="H191" s="45" t="s">
        <v>972</v>
      </c>
    </row>
    <row r="192" spans="8:8">
      <c r="H192" s="49" t="s">
        <v>977</v>
      </c>
    </row>
    <row r="193" spans="8:8">
      <c r="H193" s="45" t="s">
        <v>524</v>
      </c>
    </row>
    <row r="194" spans="8:8">
      <c r="H194" s="45" t="s">
        <v>933</v>
      </c>
    </row>
    <row r="311" spans="1:3">
      <c r="A311" s="5"/>
      <c r="B311" s="6"/>
      <c r="C311" s="6"/>
    </row>
    <row r="312" spans="1:3">
      <c r="A312" s="4"/>
      <c r="B312" s="15"/>
      <c r="C312" s="15"/>
    </row>
    <row r="313" spans="1:3">
      <c r="A313" s="5"/>
      <c r="B313" s="6"/>
      <c r="C313" s="6"/>
    </row>
  </sheetData>
  <dataValidations count="1">
    <dataValidation type="list" allowBlank="1" showInputMessage="1" showErrorMessage="1" sqref="M7 J6:J8 I25" xr:uid="{00000000-0002-0000-0300-000000000000}">
      <formula1>INDIRECT(H6)</formula1>
    </dataValidation>
  </dataValidations>
  <pageMargins left="0.7" right="0.7" top="0.75" bottom="0.75" header="0.3" footer="0.3"/>
  <tableParts count="2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 filterMode="1"/>
  <dimension ref="A1:D842"/>
  <sheetViews>
    <sheetView workbookViewId="0">
      <selection activeCell="C493" sqref="A493:C493"/>
    </sheetView>
  </sheetViews>
  <sheetFormatPr baseColWidth="10" defaultColWidth="8.88671875" defaultRowHeight="14.4"/>
  <cols>
    <col min="1" max="1" width="88" customWidth="1"/>
    <col min="2" max="2" width="11" bestFit="1" customWidth="1"/>
    <col min="3" max="3" width="21.5546875" customWidth="1"/>
    <col min="4" max="256" width="11.44140625" customWidth="1"/>
  </cols>
  <sheetData>
    <row r="1" spans="1:3" ht="39.6">
      <c r="A1" s="19" t="s">
        <v>72</v>
      </c>
      <c r="B1" s="20" t="s">
        <v>73</v>
      </c>
      <c r="C1" s="20" t="s">
        <v>517</v>
      </c>
    </row>
    <row r="2" spans="1:3" hidden="1">
      <c r="A2" s="21" t="s">
        <v>711</v>
      </c>
      <c r="B2" s="34" t="s">
        <v>384</v>
      </c>
      <c r="C2" s="35">
        <v>6.8</v>
      </c>
    </row>
    <row r="3" spans="1:3" hidden="1">
      <c r="A3" s="21" t="s">
        <v>712</v>
      </c>
      <c r="B3" s="34" t="s">
        <v>384</v>
      </c>
      <c r="C3" s="35">
        <v>6.8</v>
      </c>
    </row>
    <row r="4" spans="1:3" hidden="1">
      <c r="A4" s="21" t="s">
        <v>283</v>
      </c>
      <c r="B4" s="34" t="s">
        <v>10</v>
      </c>
      <c r="C4" s="35">
        <v>4.4624999999999995</v>
      </c>
    </row>
    <row r="5" spans="1:3" hidden="1">
      <c r="A5" s="21" t="s">
        <v>286</v>
      </c>
      <c r="B5" s="34" t="s">
        <v>10</v>
      </c>
      <c r="C5" s="35">
        <v>5.0999999999999996</v>
      </c>
    </row>
    <row r="6" spans="1:3" hidden="1">
      <c r="A6" s="21" t="s">
        <v>713</v>
      </c>
      <c r="B6" s="34" t="s">
        <v>384</v>
      </c>
      <c r="C6" s="35">
        <v>6.8</v>
      </c>
    </row>
    <row r="7" spans="1:3" hidden="1">
      <c r="A7" s="21" t="s">
        <v>282</v>
      </c>
      <c r="B7" s="34" t="s">
        <v>10</v>
      </c>
      <c r="C7" s="35">
        <v>4.8875000000000002</v>
      </c>
    </row>
    <row r="8" spans="1:3" hidden="1">
      <c r="A8" s="21" t="s">
        <v>285</v>
      </c>
      <c r="B8" s="34" t="s">
        <v>10</v>
      </c>
      <c r="C8" s="35">
        <v>5.95</v>
      </c>
    </row>
    <row r="9" spans="1:3" hidden="1">
      <c r="A9" s="21" t="s">
        <v>281</v>
      </c>
      <c r="B9" s="34" t="s">
        <v>10</v>
      </c>
      <c r="C9" s="35">
        <v>4.8</v>
      </c>
    </row>
    <row r="10" spans="1:3" hidden="1">
      <c r="A10" s="21" t="s">
        <v>284</v>
      </c>
      <c r="B10" s="34" t="s">
        <v>10</v>
      </c>
      <c r="C10" s="35">
        <v>6.8</v>
      </c>
    </row>
    <row r="11" spans="1:3" hidden="1">
      <c r="A11" s="21" t="s">
        <v>280</v>
      </c>
      <c r="B11" s="34" t="s">
        <v>10</v>
      </c>
      <c r="C11" s="35">
        <v>4.8</v>
      </c>
    </row>
    <row r="12" spans="1:3" hidden="1">
      <c r="A12" s="21" t="s">
        <v>287</v>
      </c>
      <c r="B12" s="34" t="s">
        <v>10</v>
      </c>
      <c r="C12" s="35">
        <v>7.4375</v>
      </c>
    </row>
    <row r="13" spans="1:3" hidden="1">
      <c r="A13" s="21" t="s">
        <v>289</v>
      </c>
      <c r="B13" s="34" t="s">
        <v>10</v>
      </c>
      <c r="C13" s="35">
        <v>46.75</v>
      </c>
    </row>
    <row r="14" spans="1:3" hidden="1">
      <c r="A14" s="21" t="s">
        <v>288</v>
      </c>
      <c r="B14" s="34" t="s">
        <v>10</v>
      </c>
      <c r="C14" s="35">
        <v>45.25</v>
      </c>
    </row>
    <row r="15" spans="1:3" hidden="1">
      <c r="A15" s="21" t="s">
        <v>714</v>
      </c>
      <c r="B15" s="34" t="s">
        <v>10</v>
      </c>
      <c r="C15" s="35">
        <v>8</v>
      </c>
    </row>
    <row r="16" spans="1:3" hidden="1">
      <c r="A16" s="21" t="s">
        <v>478</v>
      </c>
      <c r="B16" s="34" t="s">
        <v>10</v>
      </c>
      <c r="C16" s="35">
        <v>8</v>
      </c>
    </row>
    <row r="17" spans="1:3" hidden="1">
      <c r="A17" s="21" t="s">
        <v>715</v>
      </c>
      <c r="B17" s="34" t="s">
        <v>384</v>
      </c>
      <c r="C17" s="35">
        <v>6.8</v>
      </c>
    </row>
    <row r="18" spans="1:3" hidden="1">
      <c r="A18" s="21" t="s">
        <v>139</v>
      </c>
      <c r="B18" s="34" t="s">
        <v>140</v>
      </c>
      <c r="C18" s="35">
        <v>780</v>
      </c>
    </row>
    <row r="19" spans="1:3" hidden="1">
      <c r="A19" s="21" t="s">
        <v>19</v>
      </c>
      <c r="B19" s="34" t="s">
        <v>14</v>
      </c>
      <c r="C19" s="35">
        <v>3.6974999999999998</v>
      </c>
    </row>
    <row r="20" spans="1:3" hidden="1">
      <c r="A20" s="21" t="s">
        <v>338</v>
      </c>
      <c r="B20" s="34" t="s">
        <v>14</v>
      </c>
      <c r="C20" s="35">
        <v>6</v>
      </c>
    </row>
    <row r="21" spans="1:3" hidden="1">
      <c r="A21" s="21" t="s">
        <v>270</v>
      </c>
      <c r="B21" s="34" t="s">
        <v>10</v>
      </c>
      <c r="C21" s="35">
        <v>5</v>
      </c>
    </row>
    <row r="22" spans="1:3" hidden="1">
      <c r="A22" s="21" t="s">
        <v>716</v>
      </c>
      <c r="B22" s="34" t="s">
        <v>10</v>
      </c>
      <c r="C22" s="35">
        <v>45</v>
      </c>
    </row>
    <row r="23" spans="1:3" hidden="1">
      <c r="A23" s="21" t="s">
        <v>717</v>
      </c>
      <c r="B23" s="34" t="s">
        <v>10</v>
      </c>
      <c r="C23" s="35">
        <v>10</v>
      </c>
    </row>
    <row r="24" spans="1:3" hidden="1">
      <c r="A24" s="36" t="s">
        <v>718</v>
      </c>
      <c r="B24" s="34" t="s">
        <v>10</v>
      </c>
      <c r="C24" s="35">
        <v>10</v>
      </c>
    </row>
    <row r="25" spans="1:3" hidden="1">
      <c r="A25" s="21" t="s">
        <v>719</v>
      </c>
      <c r="B25" s="34" t="s">
        <v>10</v>
      </c>
      <c r="C25" s="35">
        <v>22</v>
      </c>
    </row>
    <row r="26" spans="1:3" hidden="1">
      <c r="A26" s="21" t="s">
        <v>720</v>
      </c>
      <c r="B26" s="34" t="s">
        <v>10</v>
      </c>
      <c r="C26" s="35">
        <v>55.660377358490564</v>
      </c>
    </row>
    <row r="27" spans="1:3" hidden="1">
      <c r="A27" s="21" t="s">
        <v>538</v>
      </c>
      <c r="B27" s="34" t="s">
        <v>10</v>
      </c>
      <c r="C27" s="35">
        <v>55.660377358490564</v>
      </c>
    </row>
    <row r="28" spans="1:3" hidden="1">
      <c r="A28" s="36" t="s">
        <v>721</v>
      </c>
      <c r="B28" s="34" t="s">
        <v>10</v>
      </c>
      <c r="C28" s="35">
        <v>55.660377358490564</v>
      </c>
    </row>
    <row r="29" spans="1:3" hidden="1">
      <c r="A29" s="21" t="s">
        <v>539</v>
      </c>
      <c r="B29" s="34" t="s">
        <v>10</v>
      </c>
      <c r="C29" s="35">
        <v>33.962264150943398</v>
      </c>
    </row>
    <row r="30" spans="1:3" hidden="1">
      <c r="A30" s="21" t="s">
        <v>722</v>
      </c>
      <c r="B30" s="34" t="s">
        <v>10</v>
      </c>
      <c r="C30" s="35">
        <v>34.962264150943398</v>
      </c>
    </row>
    <row r="31" spans="1:3" hidden="1">
      <c r="A31" s="21" t="s">
        <v>723</v>
      </c>
      <c r="B31" s="34" t="s">
        <v>10</v>
      </c>
      <c r="C31" s="35">
        <v>86</v>
      </c>
    </row>
    <row r="32" spans="1:3" hidden="1">
      <c r="A32" s="36" t="s">
        <v>724</v>
      </c>
      <c r="B32" s="34" t="s">
        <v>10</v>
      </c>
      <c r="C32" s="35">
        <v>86</v>
      </c>
    </row>
    <row r="33" spans="1:3" hidden="1">
      <c r="A33" s="21" t="s">
        <v>540</v>
      </c>
      <c r="B33" s="34" t="s">
        <v>10</v>
      </c>
      <c r="C33" s="35">
        <v>36.792452830188701</v>
      </c>
    </row>
    <row r="34" spans="1:3" hidden="1">
      <c r="A34" s="21" t="s">
        <v>541</v>
      </c>
      <c r="B34" s="34" t="s">
        <v>10</v>
      </c>
      <c r="C34" s="35">
        <v>65.094339622641513</v>
      </c>
    </row>
    <row r="35" spans="1:3" hidden="1">
      <c r="A35" s="21" t="s">
        <v>542</v>
      </c>
      <c r="B35" s="34" t="s">
        <v>10</v>
      </c>
      <c r="C35" s="35">
        <v>47.169811320754718</v>
      </c>
    </row>
    <row r="36" spans="1:3" hidden="1">
      <c r="A36" s="21" t="s">
        <v>725</v>
      </c>
      <c r="B36" s="34" t="s">
        <v>10</v>
      </c>
      <c r="C36" s="35">
        <v>18</v>
      </c>
    </row>
    <row r="37" spans="1:3" hidden="1">
      <c r="A37" s="21" t="s">
        <v>543</v>
      </c>
      <c r="B37" s="34" t="s">
        <v>14</v>
      </c>
      <c r="C37" s="35">
        <v>1200</v>
      </c>
    </row>
    <row r="38" spans="1:3" hidden="1">
      <c r="A38" s="21" t="s">
        <v>143</v>
      </c>
      <c r="B38" s="34" t="s">
        <v>14</v>
      </c>
      <c r="C38" s="35">
        <v>23.706499999999998</v>
      </c>
    </row>
    <row r="39" spans="1:3" hidden="1">
      <c r="A39" s="21" t="s">
        <v>144</v>
      </c>
      <c r="B39" s="34" t="s">
        <v>14</v>
      </c>
      <c r="C39" s="35">
        <v>5</v>
      </c>
    </row>
    <row r="40" spans="1:3" hidden="1">
      <c r="A40" s="21" t="s">
        <v>11</v>
      </c>
      <c r="B40" s="34" t="s">
        <v>10</v>
      </c>
      <c r="C40" s="35">
        <v>12</v>
      </c>
    </row>
    <row r="41" spans="1:3" hidden="1">
      <c r="A41" s="21" t="s">
        <v>431</v>
      </c>
      <c r="B41" s="34" t="s">
        <v>10</v>
      </c>
      <c r="C41" s="35">
        <v>12</v>
      </c>
    </row>
    <row r="42" spans="1:3" hidden="1">
      <c r="A42" s="21" t="s">
        <v>9</v>
      </c>
      <c r="B42" s="34" t="s">
        <v>10</v>
      </c>
      <c r="C42" s="35">
        <v>14</v>
      </c>
    </row>
    <row r="43" spans="1:3" hidden="1">
      <c r="A43" s="21" t="s">
        <v>443</v>
      </c>
      <c r="B43" s="34" t="s">
        <v>10</v>
      </c>
      <c r="C43" s="35">
        <v>18</v>
      </c>
    </row>
    <row r="44" spans="1:3" hidden="1">
      <c r="A44" s="21" t="s">
        <v>141</v>
      </c>
      <c r="B44" s="34" t="s">
        <v>10</v>
      </c>
      <c r="C44" s="35">
        <v>15</v>
      </c>
    </row>
    <row r="45" spans="1:3" hidden="1">
      <c r="A45" s="21" t="s">
        <v>440</v>
      </c>
      <c r="B45" s="34" t="s">
        <v>10</v>
      </c>
      <c r="C45" s="35">
        <v>12</v>
      </c>
    </row>
    <row r="46" spans="1:3" hidden="1">
      <c r="A46" s="21" t="s">
        <v>441</v>
      </c>
      <c r="B46" s="34" t="s">
        <v>10</v>
      </c>
      <c r="C46" s="35">
        <v>14</v>
      </c>
    </row>
    <row r="47" spans="1:3" hidden="1">
      <c r="A47" s="21" t="s">
        <v>438</v>
      </c>
      <c r="B47" s="34" t="s">
        <v>10</v>
      </c>
      <c r="C47" s="35">
        <v>14</v>
      </c>
    </row>
    <row r="48" spans="1:3" hidden="1">
      <c r="A48" s="21" t="s">
        <v>442</v>
      </c>
      <c r="B48" s="34" t="s">
        <v>10</v>
      </c>
      <c r="C48" s="35">
        <v>18</v>
      </c>
    </row>
    <row r="49" spans="1:3" hidden="1">
      <c r="A49" s="21" t="s">
        <v>142</v>
      </c>
      <c r="B49" s="34" t="s">
        <v>14</v>
      </c>
      <c r="C49" s="35">
        <v>15.674000000000001</v>
      </c>
    </row>
    <row r="50" spans="1:3" hidden="1">
      <c r="A50" s="21" t="s">
        <v>726</v>
      </c>
      <c r="B50" s="34" t="s">
        <v>10</v>
      </c>
      <c r="C50" s="35">
        <v>14</v>
      </c>
    </row>
    <row r="51" spans="1:3" hidden="1">
      <c r="A51" s="21" t="s">
        <v>472</v>
      </c>
      <c r="B51" s="34" t="s">
        <v>26</v>
      </c>
      <c r="C51" s="35">
        <v>12</v>
      </c>
    </row>
    <row r="52" spans="1:3" hidden="1">
      <c r="A52" s="21" t="s">
        <v>727</v>
      </c>
      <c r="B52" s="34" t="s">
        <v>26</v>
      </c>
      <c r="C52" s="35">
        <v>2.6</v>
      </c>
    </row>
    <row r="53" spans="1:3" hidden="1">
      <c r="A53" s="21" t="s">
        <v>728</v>
      </c>
      <c r="B53" s="34" t="s">
        <v>10</v>
      </c>
      <c r="C53" s="35">
        <v>4</v>
      </c>
    </row>
    <row r="54" spans="1:3" hidden="1">
      <c r="A54" s="21" t="s">
        <v>729</v>
      </c>
      <c r="B54" s="34" t="s">
        <v>10</v>
      </c>
      <c r="C54" s="35">
        <v>4</v>
      </c>
    </row>
    <row r="55" spans="1:3" hidden="1">
      <c r="A55" s="21" t="s">
        <v>730</v>
      </c>
      <c r="B55" s="34" t="s">
        <v>10</v>
      </c>
      <c r="C55" s="35">
        <v>4</v>
      </c>
    </row>
    <row r="56" spans="1:3" hidden="1">
      <c r="A56" s="21" t="s">
        <v>731</v>
      </c>
      <c r="B56" s="34" t="s">
        <v>10</v>
      </c>
      <c r="C56" s="35">
        <v>4</v>
      </c>
    </row>
    <row r="57" spans="1:3" hidden="1">
      <c r="A57" s="21" t="s">
        <v>732</v>
      </c>
      <c r="B57" s="34" t="s">
        <v>10</v>
      </c>
      <c r="C57" s="35">
        <v>4</v>
      </c>
    </row>
    <row r="58" spans="1:3" hidden="1">
      <c r="A58" s="21" t="s">
        <v>346</v>
      </c>
      <c r="B58" s="34" t="s">
        <v>10</v>
      </c>
      <c r="C58" s="35">
        <v>4</v>
      </c>
    </row>
    <row r="59" spans="1:3" hidden="1">
      <c r="A59" s="21" t="s">
        <v>536</v>
      </c>
      <c r="B59" s="34" t="s">
        <v>10</v>
      </c>
      <c r="C59" s="35">
        <v>5</v>
      </c>
    </row>
    <row r="60" spans="1:3" hidden="1">
      <c r="A60" s="21" t="s">
        <v>733</v>
      </c>
      <c r="B60" s="34" t="s">
        <v>10</v>
      </c>
      <c r="C60" s="35">
        <v>4</v>
      </c>
    </row>
    <row r="61" spans="1:3" hidden="1">
      <c r="A61" s="21" t="s">
        <v>347</v>
      </c>
      <c r="B61" s="34" t="s">
        <v>10</v>
      </c>
      <c r="C61" s="35">
        <v>4</v>
      </c>
    </row>
    <row r="62" spans="1:3" hidden="1">
      <c r="A62" s="21" t="s">
        <v>734</v>
      </c>
      <c r="B62" s="34" t="s">
        <v>10</v>
      </c>
      <c r="C62" s="35">
        <v>4</v>
      </c>
    </row>
    <row r="63" spans="1:3" hidden="1">
      <c r="A63" s="21" t="s">
        <v>735</v>
      </c>
      <c r="B63" s="34" t="s">
        <v>10</v>
      </c>
      <c r="C63" s="35">
        <v>4</v>
      </c>
    </row>
    <row r="64" spans="1:3" hidden="1">
      <c r="A64" s="21" t="s">
        <v>736</v>
      </c>
      <c r="B64" s="34" t="s">
        <v>10</v>
      </c>
      <c r="C64" s="35">
        <v>4</v>
      </c>
    </row>
    <row r="65" spans="1:3" hidden="1">
      <c r="A65" s="21" t="s">
        <v>544</v>
      </c>
      <c r="B65" s="34" t="s">
        <v>10</v>
      </c>
      <c r="C65" s="35">
        <v>1200</v>
      </c>
    </row>
    <row r="66" spans="1:3" hidden="1">
      <c r="A66" s="21" t="s">
        <v>322</v>
      </c>
      <c r="B66" s="34" t="s">
        <v>14</v>
      </c>
      <c r="C66" s="35">
        <v>8.0749999999999993</v>
      </c>
    </row>
    <row r="67" spans="1:3" hidden="1">
      <c r="A67" s="21" t="s">
        <v>22</v>
      </c>
      <c r="B67" s="34" t="s">
        <v>14</v>
      </c>
      <c r="C67" s="35">
        <v>11.049999999999999</v>
      </c>
    </row>
    <row r="68" spans="1:3" hidden="1">
      <c r="A68" s="21" t="s">
        <v>737</v>
      </c>
      <c r="B68" s="34" t="s">
        <v>14</v>
      </c>
      <c r="C68" s="35">
        <v>3.5</v>
      </c>
    </row>
    <row r="69" spans="1:3" hidden="1">
      <c r="A69" s="21" t="s">
        <v>738</v>
      </c>
      <c r="B69" s="34" t="s">
        <v>14</v>
      </c>
      <c r="C69" s="35">
        <v>3.5</v>
      </c>
    </row>
    <row r="70" spans="1:3" hidden="1">
      <c r="A70" s="21" t="s">
        <v>545</v>
      </c>
      <c r="B70" s="34" t="s">
        <v>384</v>
      </c>
      <c r="C70" s="35">
        <v>1500</v>
      </c>
    </row>
    <row r="71" spans="1:3" hidden="1">
      <c r="A71" s="21" t="s">
        <v>739</v>
      </c>
      <c r="B71" s="34" t="s">
        <v>10</v>
      </c>
      <c r="C71" s="35">
        <v>0.3</v>
      </c>
    </row>
    <row r="72" spans="1:3" hidden="1">
      <c r="A72" s="21" t="s">
        <v>740</v>
      </c>
      <c r="B72" s="34" t="s">
        <v>10</v>
      </c>
      <c r="C72" s="35">
        <v>0.3</v>
      </c>
    </row>
    <row r="73" spans="1:3" hidden="1">
      <c r="A73" s="21" t="s">
        <v>356</v>
      </c>
      <c r="B73" s="34" t="s">
        <v>10</v>
      </c>
      <c r="C73" s="35">
        <v>3.5</v>
      </c>
    </row>
    <row r="74" spans="1:3" hidden="1">
      <c r="A74" s="21" t="s">
        <v>741</v>
      </c>
      <c r="B74" s="34" t="s">
        <v>10</v>
      </c>
      <c r="C74" s="35">
        <v>1</v>
      </c>
    </row>
    <row r="75" spans="1:3" hidden="1">
      <c r="A75" s="21" t="s">
        <v>357</v>
      </c>
      <c r="B75" s="34" t="s">
        <v>10</v>
      </c>
      <c r="C75" s="35">
        <v>2</v>
      </c>
    </row>
    <row r="76" spans="1:3" hidden="1">
      <c r="A76" s="21" t="s">
        <v>742</v>
      </c>
      <c r="B76" s="34" t="s">
        <v>10</v>
      </c>
      <c r="C76" s="35">
        <v>1</v>
      </c>
    </row>
    <row r="77" spans="1:3" hidden="1">
      <c r="A77" s="21" t="s">
        <v>274</v>
      </c>
      <c r="B77" s="34" t="s">
        <v>10</v>
      </c>
      <c r="C77" s="35">
        <v>20</v>
      </c>
    </row>
    <row r="78" spans="1:3" hidden="1">
      <c r="A78" s="21" t="s">
        <v>743</v>
      </c>
      <c r="B78" s="34" t="s">
        <v>10</v>
      </c>
      <c r="C78" s="35">
        <v>50</v>
      </c>
    </row>
    <row r="79" spans="1:3" hidden="1">
      <c r="A79" s="21" t="s">
        <v>330</v>
      </c>
      <c r="B79" s="34" t="s">
        <v>14</v>
      </c>
      <c r="C79" s="35">
        <v>1.7</v>
      </c>
    </row>
    <row r="80" spans="1:3" hidden="1">
      <c r="A80" s="21" t="s">
        <v>241</v>
      </c>
      <c r="B80" s="34" t="s">
        <v>10</v>
      </c>
      <c r="C80" s="35">
        <v>18</v>
      </c>
    </row>
    <row r="81" spans="1:3" hidden="1">
      <c r="A81" s="21" t="s">
        <v>245</v>
      </c>
      <c r="B81" s="34" t="s">
        <v>10</v>
      </c>
      <c r="C81" s="35">
        <v>33.574999999999996</v>
      </c>
    </row>
    <row r="82" spans="1:3" hidden="1">
      <c r="A82" s="21" t="s">
        <v>242</v>
      </c>
      <c r="B82" s="34" t="s">
        <v>10</v>
      </c>
      <c r="C82" s="35">
        <v>19.974999999999998</v>
      </c>
    </row>
    <row r="83" spans="1:3" hidden="1">
      <c r="A83" s="21" t="s">
        <v>243</v>
      </c>
      <c r="B83" s="34" t="s">
        <v>14</v>
      </c>
      <c r="C83" s="35">
        <v>19.974999999999998</v>
      </c>
    </row>
    <row r="84" spans="1:3" hidden="1">
      <c r="A84" s="21" t="s">
        <v>244</v>
      </c>
      <c r="B84" s="34" t="s">
        <v>10</v>
      </c>
      <c r="C84" s="35">
        <v>20.824999999999999</v>
      </c>
    </row>
    <row r="85" spans="1:3" hidden="1">
      <c r="A85" s="21" t="s">
        <v>744</v>
      </c>
      <c r="B85" s="34" t="s">
        <v>384</v>
      </c>
      <c r="C85" s="35">
        <v>9000</v>
      </c>
    </row>
    <row r="86" spans="1:3" hidden="1">
      <c r="A86" s="21" t="s">
        <v>745</v>
      </c>
      <c r="B86" s="34" t="s">
        <v>384</v>
      </c>
      <c r="C86" s="35">
        <v>6000</v>
      </c>
    </row>
    <row r="87" spans="1:3" hidden="1">
      <c r="A87" s="21" t="s">
        <v>746</v>
      </c>
      <c r="B87" s="34" t="s">
        <v>384</v>
      </c>
      <c r="C87" s="35">
        <v>6000</v>
      </c>
    </row>
    <row r="88" spans="1:3" hidden="1">
      <c r="A88" s="21" t="s">
        <v>747</v>
      </c>
      <c r="B88" s="34" t="s">
        <v>384</v>
      </c>
      <c r="C88" s="35">
        <v>6000</v>
      </c>
    </row>
    <row r="89" spans="1:3" hidden="1">
      <c r="A89" s="21" t="s">
        <v>546</v>
      </c>
      <c r="B89" s="34" t="s">
        <v>384</v>
      </c>
      <c r="C89" s="35">
        <v>3000</v>
      </c>
    </row>
    <row r="90" spans="1:3" hidden="1">
      <c r="A90" s="21" t="s">
        <v>748</v>
      </c>
      <c r="B90" s="34" t="s">
        <v>10</v>
      </c>
      <c r="C90" s="35">
        <v>18</v>
      </c>
    </row>
    <row r="91" spans="1:3" hidden="1">
      <c r="A91" s="21" t="s">
        <v>749</v>
      </c>
      <c r="B91" s="34" t="s">
        <v>10</v>
      </c>
      <c r="C91" s="35">
        <v>18</v>
      </c>
    </row>
    <row r="92" spans="1:3" hidden="1">
      <c r="A92" s="21" t="s">
        <v>750</v>
      </c>
      <c r="B92" s="34" t="s">
        <v>10</v>
      </c>
      <c r="C92" s="35">
        <v>18</v>
      </c>
    </row>
    <row r="93" spans="1:3" hidden="1">
      <c r="A93" s="21" t="s">
        <v>335</v>
      </c>
      <c r="B93" s="34" t="s">
        <v>14</v>
      </c>
      <c r="C93" s="35">
        <v>12.75</v>
      </c>
    </row>
    <row r="94" spans="1:3" hidden="1">
      <c r="A94" s="21" t="s">
        <v>336</v>
      </c>
      <c r="B94" s="34" t="s">
        <v>14</v>
      </c>
      <c r="C94" s="35">
        <v>11.9</v>
      </c>
    </row>
    <row r="95" spans="1:3" hidden="1">
      <c r="A95" s="21" t="s">
        <v>751</v>
      </c>
      <c r="B95" s="34" t="s">
        <v>14</v>
      </c>
      <c r="C95" s="35">
        <v>13.6</v>
      </c>
    </row>
    <row r="96" spans="1:3" hidden="1">
      <c r="A96" s="21" t="s">
        <v>337</v>
      </c>
      <c r="B96" s="34" t="s">
        <v>14</v>
      </c>
      <c r="C96" s="35">
        <v>13.6</v>
      </c>
    </row>
    <row r="97" spans="1:3" hidden="1">
      <c r="A97" s="21" t="s">
        <v>547</v>
      </c>
      <c r="B97" s="34" t="s">
        <v>10</v>
      </c>
      <c r="C97" s="35">
        <v>349.20634920634922</v>
      </c>
    </row>
    <row r="98" spans="1:3" hidden="1">
      <c r="A98" s="21" t="s">
        <v>548</v>
      </c>
      <c r="B98" s="34" t="s">
        <v>10</v>
      </c>
      <c r="C98" s="35">
        <v>349.20634920634922</v>
      </c>
    </row>
    <row r="99" spans="1:3" hidden="1">
      <c r="A99" s="21" t="s">
        <v>549</v>
      </c>
      <c r="B99" s="34" t="s">
        <v>10</v>
      </c>
      <c r="C99" s="35">
        <v>523.80952380952385</v>
      </c>
    </row>
    <row r="100" spans="1:3">
      <c r="A100" s="21" t="s">
        <v>262</v>
      </c>
      <c r="B100" s="34" t="s">
        <v>14</v>
      </c>
      <c r="C100" s="35">
        <v>5.4271442857142862</v>
      </c>
    </row>
    <row r="101" spans="1:3" hidden="1">
      <c r="A101" s="21" t="s">
        <v>752</v>
      </c>
      <c r="B101" s="34" t="s">
        <v>14</v>
      </c>
      <c r="C101" s="35">
        <v>45</v>
      </c>
    </row>
    <row r="102" spans="1:3" hidden="1">
      <c r="A102" s="21" t="s">
        <v>753</v>
      </c>
      <c r="B102" s="34" t="s">
        <v>14</v>
      </c>
      <c r="C102" s="35">
        <v>46</v>
      </c>
    </row>
    <row r="103" spans="1:3" hidden="1">
      <c r="A103" s="21" t="s">
        <v>550</v>
      </c>
      <c r="B103" s="34" t="s">
        <v>10</v>
      </c>
      <c r="C103" s="35">
        <v>2500</v>
      </c>
    </row>
    <row r="104" spans="1:3" hidden="1">
      <c r="A104" s="21" t="s">
        <v>754</v>
      </c>
      <c r="B104" s="34" t="s">
        <v>14</v>
      </c>
      <c r="C104" s="35">
        <v>150</v>
      </c>
    </row>
    <row r="105" spans="1:3" hidden="1">
      <c r="A105" s="21" t="s">
        <v>755</v>
      </c>
      <c r="B105" s="34" t="s">
        <v>14</v>
      </c>
      <c r="C105" s="35">
        <v>4699.2</v>
      </c>
    </row>
    <row r="106" spans="1:3" hidden="1">
      <c r="A106" s="21" t="s">
        <v>756</v>
      </c>
      <c r="B106" s="34" t="s">
        <v>14</v>
      </c>
      <c r="C106" s="35">
        <v>150</v>
      </c>
    </row>
    <row r="107" spans="1:3" hidden="1">
      <c r="A107" s="21" t="s">
        <v>757</v>
      </c>
      <c r="B107" s="34" t="s">
        <v>10</v>
      </c>
      <c r="C107" s="35">
        <v>200</v>
      </c>
    </row>
    <row r="108" spans="1:3" hidden="1">
      <c r="A108" s="21" t="s">
        <v>246</v>
      </c>
      <c r="B108" s="34" t="s">
        <v>10</v>
      </c>
      <c r="C108" s="35">
        <v>30</v>
      </c>
    </row>
    <row r="109" spans="1:3" hidden="1">
      <c r="A109" s="21" t="s">
        <v>247</v>
      </c>
      <c r="B109" s="34" t="s">
        <v>10</v>
      </c>
      <c r="C109" s="35">
        <v>35</v>
      </c>
    </row>
    <row r="110" spans="1:3" hidden="1">
      <c r="A110" s="21" t="s">
        <v>248</v>
      </c>
      <c r="B110" s="34" t="s">
        <v>10</v>
      </c>
      <c r="C110" s="35">
        <v>38</v>
      </c>
    </row>
    <row r="111" spans="1:3" hidden="1">
      <c r="A111" s="21" t="s">
        <v>518</v>
      </c>
      <c r="B111" s="34" t="s">
        <v>10</v>
      </c>
      <c r="C111" s="35">
        <v>75</v>
      </c>
    </row>
    <row r="112" spans="1:3" hidden="1">
      <c r="A112" s="21" t="s">
        <v>531</v>
      </c>
      <c r="B112" s="34" t="s">
        <v>10</v>
      </c>
      <c r="C112" s="35">
        <v>75</v>
      </c>
    </row>
    <row r="113" spans="1:3" hidden="1">
      <c r="A113" s="21" t="s">
        <v>381</v>
      </c>
      <c r="B113" s="34" t="s">
        <v>10</v>
      </c>
      <c r="C113" s="35">
        <v>85</v>
      </c>
    </row>
    <row r="114" spans="1:3" hidden="1">
      <c r="A114" s="21" t="s">
        <v>382</v>
      </c>
      <c r="B114" s="34" t="s">
        <v>10</v>
      </c>
      <c r="C114" s="35">
        <v>75</v>
      </c>
    </row>
    <row r="115" spans="1:3" hidden="1">
      <c r="A115" s="21" t="s">
        <v>362</v>
      </c>
      <c r="B115" s="34" t="s">
        <v>10</v>
      </c>
      <c r="C115" s="35">
        <v>90</v>
      </c>
    </row>
    <row r="116" spans="1:3" hidden="1">
      <c r="A116" s="21" t="s">
        <v>363</v>
      </c>
      <c r="B116" s="34" t="s">
        <v>10</v>
      </c>
      <c r="C116" s="35">
        <v>80</v>
      </c>
    </row>
    <row r="117" spans="1:3" hidden="1">
      <c r="A117" s="21" t="s">
        <v>758</v>
      </c>
      <c r="B117" s="34" t="s">
        <v>14</v>
      </c>
      <c r="C117" s="35">
        <v>8000</v>
      </c>
    </row>
    <row r="118" spans="1:3" hidden="1">
      <c r="A118" s="21" t="s">
        <v>759</v>
      </c>
      <c r="B118" s="34" t="s">
        <v>14</v>
      </c>
      <c r="C118" s="35">
        <v>6000</v>
      </c>
    </row>
    <row r="119" spans="1:3" hidden="1">
      <c r="A119" s="21" t="s">
        <v>473</v>
      </c>
      <c r="B119" s="34" t="s">
        <v>10</v>
      </c>
      <c r="C119" s="35">
        <v>18</v>
      </c>
    </row>
    <row r="120" spans="1:3" hidden="1">
      <c r="A120" s="21" t="s">
        <v>760</v>
      </c>
      <c r="B120" s="34" t="s">
        <v>69</v>
      </c>
      <c r="C120" s="35">
        <v>19.48</v>
      </c>
    </row>
    <row r="121" spans="1:3" hidden="1">
      <c r="A121" s="36" t="s">
        <v>761</v>
      </c>
      <c r="B121" s="34" t="s">
        <v>26</v>
      </c>
      <c r="C121" s="35">
        <v>19.48</v>
      </c>
    </row>
    <row r="122" spans="1:3" hidden="1">
      <c r="A122" s="21" t="s">
        <v>551</v>
      </c>
      <c r="B122" s="34" t="s">
        <v>26</v>
      </c>
      <c r="C122" s="35">
        <v>19.48</v>
      </c>
    </row>
    <row r="123" spans="1:3" hidden="1">
      <c r="A123" s="21" t="s">
        <v>762</v>
      </c>
      <c r="B123" s="34" t="s">
        <v>69</v>
      </c>
      <c r="C123" s="35">
        <v>5.6099999999999994</v>
      </c>
    </row>
    <row r="124" spans="1:3" hidden="1">
      <c r="A124" s="21" t="s">
        <v>763</v>
      </c>
      <c r="B124" s="34" t="s">
        <v>69</v>
      </c>
      <c r="C124" s="35">
        <v>5.6099999999999994</v>
      </c>
    </row>
    <row r="125" spans="1:3" hidden="1">
      <c r="A125" s="21" t="s">
        <v>200</v>
      </c>
      <c r="B125" s="34" t="s">
        <v>26</v>
      </c>
      <c r="C125" s="35">
        <v>13.08</v>
      </c>
    </row>
    <row r="126" spans="1:3" hidden="1">
      <c r="A126" s="21" t="s">
        <v>201</v>
      </c>
      <c r="B126" s="34" t="s">
        <v>26</v>
      </c>
      <c r="C126" s="35">
        <v>16</v>
      </c>
    </row>
    <row r="127" spans="1:3" hidden="1">
      <c r="A127" s="21" t="s">
        <v>202</v>
      </c>
      <c r="B127" s="34" t="s">
        <v>26</v>
      </c>
      <c r="C127" s="35">
        <v>15.01</v>
      </c>
    </row>
    <row r="128" spans="1:3" hidden="1">
      <c r="A128" s="21" t="s">
        <v>764</v>
      </c>
      <c r="B128" s="34" t="s">
        <v>131</v>
      </c>
      <c r="C128" s="35">
        <v>19.16</v>
      </c>
    </row>
    <row r="129" spans="1:3" hidden="1">
      <c r="A129" s="21" t="s">
        <v>203</v>
      </c>
      <c r="B129" s="34" t="s">
        <v>26</v>
      </c>
      <c r="C129" s="35">
        <v>3.3149999999999999</v>
      </c>
    </row>
    <row r="130" spans="1:3" hidden="1">
      <c r="A130" s="21" t="s">
        <v>204</v>
      </c>
      <c r="B130" s="34" t="s">
        <v>26</v>
      </c>
      <c r="C130" s="35">
        <v>6.16</v>
      </c>
    </row>
    <row r="131" spans="1:3" hidden="1">
      <c r="A131" s="21" t="s">
        <v>205</v>
      </c>
      <c r="B131" s="34" t="s">
        <v>26</v>
      </c>
      <c r="C131" s="35">
        <v>1.5215000000000001</v>
      </c>
    </row>
    <row r="132" spans="1:3" hidden="1">
      <c r="A132" s="21" t="s">
        <v>178</v>
      </c>
      <c r="B132" s="34" t="s">
        <v>26</v>
      </c>
      <c r="C132" s="35">
        <v>6.11</v>
      </c>
    </row>
    <row r="133" spans="1:3" hidden="1">
      <c r="A133" s="21" t="s">
        <v>179</v>
      </c>
      <c r="B133" s="34" t="s">
        <v>26</v>
      </c>
      <c r="C133" s="35">
        <v>2.85</v>
      </c>
    </row>
    <row r="134" spans="1:3" hidden="1">
      <c r="A134" s="21" t="s">
        <v>180</v>
      </c>
      <c r="B134" s="34" t="s">
        <v>26</v>
      </c>
      <c r="C134" s="35">
        <v>3.18</v>
      </c>
    </row>
    <row r="135" spans="1:3" hidden="1">
      <c r="A135" s="21" t="s">
        <v>177</v>
      </c>
      <c r="B135" s="34" t="s">
        <v>26</v>
      </c>
      <c r="C135" s="35">
        <v>12.88</v>
      </c>
    </row>
    <row r="136" spans="1:3" hidden="1">
      <c r="A136" s="21" t="s">
        <v>176</v>
      </c>
      <c r="B136" s="34" t="s">
        <v>26</v>
      </c>
      <c r="C136" s="35">
        <v>27.21</v>
      </c>
    </row>
    <row r="137" spans="1:3" hidden="1">
      <c r="A137" s="21" t="s">
        <v>220</v>
      </c>
      <c r="B137" s="34" t="s">
        <v>26</v>
      </c>
      <c r="C137" s="35">
        <v>2.68</v>
      </c>
    </row>
    <row r="138" spans="1:3" hidden="1">
      <c r="A138" s="21" t="s">
        <v>206</v>
      </c>
      <c r="B138" s="34" t="s">
        <v>26</v>
      </c>
      <c r="C138" s="35">
        <v>19.48</v>
      </c>
    </row>
    <row r="139" spans="1:3" hidden="1">
      <c r="A139" s="21" t="s">
        <v>765</v>
      </c>
      <c r="B139" s="34" t="s">
        <v>26</v>
      </c>
      <c r="C139" s="35">
        <v>19.16</v>
      </c>
    </row>
    <row r="140" spans="1:3" hidden="1">
      <c r="A140" s="37" t="s">
        <v>766</v>
      </c>
      <c r="B140" s="34" t="s">
        <v>26</v>
      </c>
      <c r="C140" s="35">
        <v>19.16</v>
      </c>
    </row>
    <row r="141" spans="1:3" hidden="1">
      <c r="A141" s="21" t="s">
        <v>207</v>
      </c>
      <c r="B141" s="34" t="s">
        <v>26</v>
      </c>
      <c r="C141" s="35">
        <v>19.079999999999998</v>
      </c>
    </row>
    <row r="142" spans="1:3" hidden="1">
      <c r="A142" s="21" t="s">
        <v>208</v>
      </c>
      <c r="B142" s="34" t="s">
        <v>26</v>
      </c>
      <c r="C142" s="35">
        <v>22.08</v>
      </c>
    </row>
    <row r="143" spans="1:3" hidden="1">
      <c r="A143" s="21" t="s">
        <v>175</v>
      </c>
      <c r="B143" s="34" t="s">
        <v>26</v>
      </c>
      <c r="C143" s="35">
        <v>2.61</v>
      </c>
    </row>
    <row r="144" spans="1:3" hidden="1">
      <c r="A144" s="21" t="s">
        <v>767</v>
      </c>
      <c r="B144" s="34" t="s">
        <v>69</v>
      </c>
      <c r="C144" s="35">
        <v>19.16</v>
      </c>
    </row>
    <row r="145" spans="1:3" hidden="1">
      <c r="A145" s="21" t="s">
        <v>209</v>
      </c>
      <c r="B145" s="34" t="s">
        <v>69</v>
      </c>
      <c r="C145" s="35">
        <v>18.88</v>
      </c>
    </row>
    <row r="146" spans="1:3" hidden="1">
      <c r="A146" s="36" t="s">
        <v>768</v>
      </c>
      <c r="B146" s="34" t="s">
        <v>69</v>
      </c>
      <c r="C146" s="35">
        <v>19.16</v>
      </c>
    </row>
    <row r="147" spans="1:3" hidden="1">
      <c r="A147" s="21" t="s">
        <v>210</v>
      </c>
      <c r="B147" s="34" t="s">
        <v>69</v>
      </c>
      <c r="C147" s="35">
        <v>19.16</v>
      </c>
    </row>
    <row r="148" spans="1:3" hidden="1">
      <c r="A148" s="21" t="s">
        <v>211</v>
      </c>
      <c r="B148" s="34" t="s">
        <v>69</v>
      </c>
      <c r="C148" s="35">
        <v>18.28</v>
      </c>
    </row>
    <row r="149" spans="1:3" hidden="1">
      <c r="A149" s="21" t="s">
        <v>212</v>
      </c>
      <c r="B149" s="34" t="s">
        <v>69</v>
      </c>
      <c r="C149" s="35">
        <v>18.75</v>
      </c>
    </row>
    <row r="150" spans="1:3" hidden="1">
      <c r="A150" s="21" t="s">
        <v>213</v>
      </c>
      <c r="B150" s="34" t="s">
        <v>69</v>
      </c>
      <c r="C150" s="35">
        <v>19.489999999999998</v>
      </c>
    </row>
    <row r="151" spans="1:3" hidden="1">
      <c r="A151" s="21" t="s">
        <v>469</v>
      </c>
      <c r="B151" s="34" t="s">
        <v>26</v>
      </c>
      <c r="C151" s="35">
        <v>3.18</v>
      </c>
    </row>
    <row r="152" spans="1:3" hidden="1">
      <c r="A152" s="21" t="s">
        <v>468</v>
      </c>
      <c r="B152" s="34" t="s">
        <v>26</v>
      </c>
      <c r="C152" s="35">
        <v>5.18</v>
      </c>
    </row>
    <row r="153" spans="1:3" hidden="1">
      <c r="A153" s="21" t="s">
        <v>463</v>
      </c>
      <c r="B153" s="34" t="s">
        <v>26</v>
      </c>
      <c r="C153" s="35">
        <v>14</v>
      </c>
    </row>
    <row r="154" spans="1:3" hidden="1">
      <c r="A154" s="21" t="s">
        <v>464</v>
      </c>
      <c r="B154" s="34" t="s">
        <v>26</v>
      </c>
      <c r="C154" s="35">
        <v>27.39</v>
      </c>
    </row>
    <row r="155" spans="1:3" hidden="1">
      <c r="A155" s="21" t="s">
        <v>223</v>
      </c>
      <c r="B155" s="34" t="s">
        <v>26</v>
      </c>
      <c r="C155" s="35">
        <v>13.39</v>
      </c>
    </row>
    <row r="156" spans="1:3" hidden="1">
      <c r="A156" s="21" t="s">
        <v>184</v>
      </c>
      <c r="B156" s="34" t="s">
        <v>26</v>
      </c>
      <c r="C156" s="35">
        <v>32.17</v>
      </c>
    </row>
    <row r="157" spans="1:3" hidden="1">
      <c r="A157" s="21" t="s">
        <v>465</v>
      </c>
      <c r="B157" s="34" t="s">
        <v>26</v>
      </c>
      <c r="C157" s="35">
        <v>32.17</v>
      </c>
    </row>
    <row r="158" spans="1:3" hidden="1">
      <c r="A158" s="21" t="s">
        <v>181</v>
      </c>
      <c r="B158" s="34" t="s">
        <v>26</v>
      </c>
      <c r="C158" s="35">
        <v>16.079999999999998</v>
      </c>
    </row>
    <row r="159" spans="1:3" hidden="1">
      <c r="A159" s="21" t="s">
        <v>214</v>
      </c>
      <c r="B159" s="34" t="s">
        <v>26</v>
      </c>
      <c r="C159" s="35">
        <v>17.34</v>
      </c>
    </row>
    <row r="160" spans="1:3" hidden="1">
      <c r="A160" s="21" t="s">
        <v>215</v>
      </c>
      <c r="B160" s="34" t="s">
        <v>26</v>
      </c>
      <c r="C160" s="35">
        <v>28.5</v>
      </c>
    </row>
    <row r="161" spans="1:3" hidden="1">
      <c r="A161" s="21" t="s">
        <v>218</v>
      </c>
      <c r="B161" s="34" t="s">
        <v>26</v>
      </c>
      <c r="C161" s="35">
        <v>25.16</v>
      </c>
    </row>
    <row r="162" spans="1:3" hidden="1">
      <c r="A162" s="21" t="s">
        <v>222</v>
      </c>
      <c r="B162" s="34" t="s">
        <v>26</v>
      </c>
      <c r="C162" s="35">
        <v>25.14</v>
      </c>
    </row>
    <row r="163" spans="1:3" hidden="1">
      <c r="A163" s="21" t="s">
        <v>217</v>
      </c>
      <c r="B163" s="34" t="s">
        <v>26</v>
      </c>
      <c r="C163" s="35">
        <v>41.08</v>
      </c>
    </row>
    <row r="164" spans="1:3" hidden="1">
      <c r="A164" s="21" t="s">
        <v>552</v>
      </c>
      <c r="B164" s="34" t="s">
        <v>26</v>
      </c>
      <c r="C164" s="35">
        <v>350</v>
      </c>
    </row>
    <row r="165" spans="1:3" hidden="1">
      <c r="A165" s="21" t="s">
        <v>769</v>
      </c>
      <c r="B165" s="34" t="s">
        <v>26</v>
      </c>
      <c r="C165" s="35">
        <v>350</v>
      </c>
    </row>
    <row r="166" spans="1:3" hidden="1">
      <c r="A166" s="21" t="s">
        <v>216</v>
      </c>
      <c r="B166" s="34" t="s">
        <v>26</v>
      </c>
      <c r="C166" s="35">
        <v>11.780999999999999</v>
      </c>
    </row>
    <row r="167" spans="1:3" hidden="1">
      <c r="A167" s="21" t="s">
        <v>770</v>
      </c>
      <c r="B167" s="34" t="s">
        <v>26</v>
      </c>
      <c r="C167" s="35">
        <v>19.46</v>
      </c>
    </row>
    <row r="168" spans="1:3" hidden="1">
      <c r="A168" s="21" t="s">
        <v>771</v>
      </c>
      <c r="B168" s="34" t="s">
        <v>26</v>
      </c>
      <c r="C168" s="35">
        <v>19.46</v>
      </c>
    </row>
    <row r="169" spans="1:3" hidden="1">
      <c r="A169" s="21" t="s">
        <v>219</v>
      </c>
      <c r="B169" s="34" t="s">
        <v>26</v>
      </c>
      <c r="C169" s="35">
        <v>1.5</v>
      </c>
    </row>
    <row r="170" spans="1:3" hidden="1">
      <c r="A170" s="21" t="s">
        <v>221</v>
      </c>
      <c r="B170" s="34" t="s">
        <v>26</v>
      </c>
      <c r="C170" s="35">
        <v>0.9</v>
      </c>
    </row>
    <row r="171" spans="1:3" hidden="1">
      <c r="A171" s="21" t="s">
        <v>182</v>
      </c>
      <c r="B171" s="34" t="s">
        <v>26</v>
      </c>
      <c r="C171" s="35">
        <v>11.08</v>
      </c>
    </row>
    <row r="172" spans="1:3" hidden="1">
      <c r="A172" s="21" t="s">
        <v>183</v>
      </c>
      <c r="B172" s="34" t="s">
        <v>26</v>
      </c>
      <c r="C172" s="35">
        <v>13.08</v>
      </c>
    </row>
    <row r="173" spans="1:3" hidden="1">
      <c r="A173" s="21" t="s">
        <v>191</v>
      </c>
      <c r="B173" s="34" t="s">
        <v>26</v>
      </c>
      <c r="C173" s="35">
        <v>7.25</v>
      </c>
    </row>
    <row r="174" spans="1:3" hidden="1">
      <c r="A174" s="21" t="s">
        <v>192</v>
      </c>
      <c r="B174" s="34" t="s">
        <v>26</v>
      </c>
      <c r="C174" s="35">
        <v>9</v>
      </c>
    </row>
    <row r="175" spans="1:3" hidden="1">
      <c r="A175" s="21" t="s">
        <v>197</v>
      </c>
      <c r="B175" s="34" t="s">
        <v>26</v>
      </c>
      <c r="C175" s="35">
        <v>13.62</v>
      </c>
    </row>
    <row r="176" spans="1:3" hidden="1">
      <c r="A176" s="21" t="s">
        <v>193</v>
      </c>
      <c r="B176" s="34" t="s">
        <v>26</v>
      </c>
      <c r="C176" s="35">
        <v>12</v>
      </c>
    </row>
    <row r="177" spans="1:3" hidden="1">
      <c r="A177" s="21" t="s">
        <v>198</v>
      </c>
      <c r="B177" s="34" t="s">
        <v>26</v>
      </c>
      <c r="C177" s="35">
        <v>32.549999999999997</v>
      </c>
    </row>
    <row r="178" spans="1:3" hidden="1">
      <c r="A178" s="21" t="s">
        <v>194</v>
      </c>
      <c r="B178" s="34" t="s">
        <v>26</v>
      </c>
      <c r="C178" s="35">
        <v>14</v>
      </c>
    </row>
    <row r="179" spans="1:3" hidden="1">
      <c r="A179" s="21" t="s">
        <v>195</v>
      </c>
      <c r="B179" s="34" t="s">
        <v>26</v>
      </c>
      <c r="C179" s="35">
        <v>27.39</v>
      </c>
    </row>
    <row r="180" spans="1:3" hidden="1">
      <c r="A180" s="21" t="s">
        <v>196</v>
      </c>
      <c r="B180" s="34" t="s">
        <v>26</v>
      </c>
      <c r="C180" s="35">
        <v>30</v>
      </c>
    </row>
    <row r="181" spans="1:3" hidden="1">
      <c r="A181" s="21" t="s">
        <v>553</v>
      </c>
      <c r="B181" s="34" t="s">
        <v>26</v>
      </c>
      <c r="C181" s="35">
        <v>14</v>
      </c>
    </row>
    <row r="182" spans="1:3" hidden="1">
      <c r="A182" s="21" t="s">
        <v>554</v>
      </c>
      <c r="B182" s="34" t="s">
        <v>10</v>
      </c>
      <c r="C182" s="35">
        <v>1200</v>
      </c>
    </row>
    <row r="183" spans="1:3" hidden="1">
      <c r="A183" s="21" t="s">
        <v>772</v>
      </c>
      <c r="B183" s="34" t="s">
        <v>14</v>
      </c>
      <c r="C183" s="35">
        <v>300</v>
      </c>
    </row>
    <row r="184" spans="1:3" hidden="1">
      <c r="A184" s="21" t="s">
        <v>255</v>
      </c>
      <c r="B184" s="34" t="s">
        <v>10</v>
      </c>
      <c r="C184" s="35">
        <v>339.05</v>
      </c>
    </row>
    <row r="185" spans="1:3" hidden="1">
      <c r="A185" s="21" t="s">
        <v>253</v>
      </c>
      <c r="B185" s="34" t="s">
        <v>10</v>
      </c>
      <c r="C185" s="35">
        <v>420</v>
      </c>
    </row>
    <row r="186" spans="1:3" hidden="1">
      <c r="A186" s="21" t="s">
        <v>555</v>
      </c>
      <c r="B186" s="34" t="s">
        <v>10</v>
      </c>
      <c r="C186" s="35">
        <v>15</v>
      </c>
    </row>
    <row r="187" spans="1:3" hidden="1">
      <c r="A187" s="21" t="s">
        <v>556</v>
      </c>
      <c r="B187" s="34" t="s">
        <v>10</v>
      </c>
      <c r="C187" s="35">
        <v>1500</v>
      </c>
    </row>
    <row r="188" spans="1:3" hidden="1">
      <c r="A188" s="21" t="s">
        <v>773</v>
      </c>
      <c r="B188" s="34" t="s">
        <v>14</v>
      </c>
      <c r="C188" s="35">
        <v>4400</v>
      </c>
    </row>
    <row r="189" spans="1:3" hidden="1">
      <c r="A189" s="21" t="s">
        <v>557</v>
      </c>
      <c r="B189" s="34" t="s">
        <v>14</v>
      </c>
      <c r="C189" s="35">
        <v>12381.6</v>
      </c>
    </row>
    <row r="190" spans="1:3" hidden="1">
      <c r="A190" s="21" t="s">
        <v>558</v>
      </c>
      <c r="B190" s="34" t="s">
        <v>14</v>
      </c>
      <c r="C190" s="35">
        <v>600</v>
      </c>
    </row>
    <row r="191" spans="1:3" hidden="1">
      <c r="A191" s="21" t="s">
        <v>559</v>
      </c>
      <c r="B191" s="34" t="s">
        <v>560</v>
      </c>
      <c r="C191" s="35">
        <v>60</v>
      </c>
    </row>
    <row r="192" spans="1:3" hidden="1">
      <c r="A192" s="21" t="s">
        <v>774</v>
      </c>
      <c r="B192" s="34" t="s">
        <v>10</v>
      </c>
      <c r="C192" s="35">
        <v>40</v>
      </c>
    </row>
    <row r="193" spans="1:3" hidden="1">
      <c r="A193" s="21" t="s">
        <v>133</v>
      </c>
      <c r="B193" s="34" t="s">
        <v>131</v>
      </c>
      <c r="C193" s="35">
        <v>10.497499999999999</v>
      </c>
    </row>
    <row r="194" spans="1:3" hidden="1">
      <c r="A194" s="21" t="s">
        <v>775</v>
      </c>
      <c r="B194" s="34" t="s">
        <v>131</v>
      </c>
      <c r="C194" s="35">
        <v>11</v>
      </c>
    </row>
    <row r="195" spans="1:3" hidden="1">
      <c r="A195" s="21" t="s">
        <v>132</v>
      </c>
      <c r="B195" s="34" t="s">
        <v>131</v>
      </c>
      <c r="C195" s="35">
        <v>7</v>
      </c>
    </row>
    <row r="196" spans="1:3" hidden="1">
      <c r="A196" s="21" t="s">
        <v>776</v>
      </c>
      <c r="B196" s="34" t="s">
        <v>131</v>
      </c>
      <c r="C196" s="35">
        <v>11</v>
      </c>
    </row>
    <row r="197" spans="1:3" hidden="1">
      <c r="A197" s="36" t="s">
        <v>777</v>
      </c>
      <c r="B197" s="34" t="s">
        <v>131</v>
      </c>
      <c r="C197" s="35">
        <v>11</v>
      </c>
    </row>
    <row r="198" spans="1:3" hidden="1">
      <c r="A198" s="21" t="s">
        <v>137</v>
      </c>
      <c r="B198" s="34" t="s">
        <v>131</v>
      </c>
      <c r="C198" s="35">
        <v>4</v>
      </c>
    </row>
    <row r="199" spans="1:3" hidden="1">
      <c r="A199" s="21" t="s">
        <v>134</v>
      </c>
      <c r="B199" s="34" t="s">
        <v>131</v>
      </c>
      <c r="C199" s="35">
        <v>12</v>
      </c>
    </row>
    <row r="200" spans="1:3" hidden="1">
      <c r="A200" s="21" t="s">
        <v>778</v>
      </c>
      <c r="B200" s="34" t="s">
        <v>131</v>
      </c>
      <c r="C200" s="35">
        <v>12</v>
      </c>
    </row>
    <row r="201" spans="1:3" hidden="1">
      <c r="A201" s="21" t="s">
        <v>779</v>
      </c>
      <c r="B201" s="34" t="s">
        <v>131</v>
      </c>
      <c r="C201" s="35">
        <v>11</v>
      </c>
    </row>
    <row r="202" spans="1:3" hidden="1">
      <c r="A202" s="21" t="s">
        <v>437</v>
      </c>
      <c r="B202" s="34" t="s">
        <v>131</v>
      </c>
      <c r="C202" s="35">
        <v>6.49</v>
      </c>
    </row>
    <row r="203" spans="1:3" hidden="1">
      <c r="A203" s="21" t="s">
        <v>780</v>
      </c>
      <c r="B203" s="34" t="s">
        <v>131</v>
      </c>
      <c r="C203" s="35">
        <v>12</v>
      </c>
    </row>
    <row r="204" spans="1:3" hidden="1">
      <c r="A204" s="21" t="s">
        <v>436</v>
      </c>
      <c r="B204" s="34" t="s">
        <v>131</v>
      </c>
      <c r="C204" s="35">
        <v>11</v>
      </c>
    </row>
    <row r="205" spans="1:3" hidden="1">
      <c r="A205" s="21" t="s">
        <v>781</v>
      </c>
      <c r="B205" s="34" t="s">
        <v>131</v>
      </c>
      <c r="C205" s="35">
        <v>11</v>
      </c>
    </row>
    <row r="206" spans="1:3" hidden="1">
      <c r="A206" s="21" t="s">
        <v>138</v>
      </c>
      <c r="B206" s="34" t="s">
        <v>131</v>
      </c>
      <c r="C206" s="35">
        <v>10</v>
      </c>
    </row>
    <row r="207" spans="1:3" hidden="1">
      <c r="A207" s="21" t="s">
        <v>782</v>
      </c>
      <c r="B207" s="34" t="s">
        <v>131</v>
      </c>
      <c r="C207" s="35">
        <v>15</v>
      </c>
    </row>
    <row r="208" spans="1:3" hidden="1">
      <c r="A208" s="21" t="s">
        <v>130</v>
      </c>
      <c r="B208" s="34" t="s">
        <v>131</v>
      </c>
      <c r="C208" s="35">
        <v>15</v>
      </c>
    </row>
    <row r="209" spans="1:3" hidden="1">
      <c r="A209" s="21" t="s">
        <v>135</v>
      </c>
      <c r="B209" s="34" t="s">
        <v>131</v>
      </c>
      <c r="C209" s="35">
        <v>6.49</v>
      </c>
    </row>
    <row r="210" spans="1:3" hidden="1">
      <c r="A210" s="21" t="s">
        <v>136</v>
      </c>
      <c r="B210" s="34" t="s">
        <v>131</v>
      </c>
      <c r="C210" s="35">
        <v>11</v>
      </c>
    </row>
    <row r="211" spans="1:3" hidden="1">
      <c r="A211" s="21" t="s">
        <v>783</v>
      </c>
      <c r="B211" s="34" t="s">
        <v>131</v>
      </c>
      <c r="C211" s="35">
        <v>4</v>
      </c>
    </row>
    <row r="212" spans="1:3" hidden="1">
      <c r="A212" s="21" t="s">
        <v>784</v>
      </c>
      <c r="B212" s="34" t="s">
        <v>131</v>
      </c>
      <c r="C212" s="35">
        <v>8</v>
      </c>
    </row>
    <row r="213" spans="1:3" hidden="1">
      <c r="A213" s="21" t="s">
        <v>785</v>
      </c>
      <c r="B213" s="34" t="s">
        <v>131</v>
      </c>
      <c r="C213" s="35">
        <v>11</v>
      </c>
    </row>
    <row r="214" spans="1:3" hidden="1">
      <c r="A214" s="21" t="s">
        <v>561</v>
      </c>
      <c r="B214" s="34" t="s">
        <v>10</v>
      </c>
      <c r="C214" s="35">
        <v>136.79245283018867</v>
      </c>
    </row>
    <row r="215" spans="1:3" hidden="1">
      <c r="A215" s="21" t="s">
        <v>786</v>
      </c>
      <c r="B215" s="34" t="s">
        <v>10</v>
      </c>
      <c r="C215" s="35">
        <v>58.47</v>
      </c>
    </row>
    <row r="216" spans="1:3" hidden="1">
      <c r="A216" s="21" t="s">
        <v>978</v>
      </c>
      <c r="B216" s="34" t="s">
        <v>562</v>
      </c>
      <c r="C216" s="35">
        <v>3000</v>
      </c>
    </row>
    <row r="217" spans="1:3" hidden="1">
      <c r="A217" s="21" t="s">
        <v>519</v>
      </c>
      <c r="B217" s="34" t="s">
        <v>563</v>
      </c>
      <c r="C217" s="35">
        <v>450</v>
      </c>
    </row>
    <row r="218" spans="1:3" hidden="1">
      <c r="A218" s="21" t="s">
        <v>564</v>
      </c>
      <c r="B218" s="34" t="s">
        <v>563</v>
      </c>
      <c r="C218" s="35">
        <v>600</v>
      </c>
    </row>
    <row r="219" spans="1:3" hidden="1">
      <c r="A219" s="21" t="s">
        <v>257</v>
      </c>
      <c r="B219" s="34" t="s">
        <v>10</v>
      </c>
      <c r="C219" s="35">
        <v>12.5</v>
      </c>
    </row>
    <row r="220" spans="1:3" hidden="1">
      <c r="A220" s="21" t="s">
        <v>256</v>
      </c>
      <c r="B220" s="34" t="s">
        <v>10</v>
      </c>
      <c r="C220" s="35">
        <v>12.5</v>
      </c>
    </row>
    <row r="221" spans="1:3" hidden="1">
      <c r="A221" s="21" t="s">
        <v>258</v>
      </c>
      <c r="B221" s="34" t="s">
        <v>10</v>
      </c>
      <c r="C221" s="35">
        <v>12.5</v>
      </c>
    </row>
    <row r="222" spans="1:3" hidden="1">
      <c r="A222" s="21" t="s">
        <v>186</v>
      </c>
      <c r="B222" s="34" t="s">
        <v>69</v>
      </c>
      <c r="C222" s="35">
        <v>7.65</v>
      </c>
    </row>
    <row r="223" spans="1:3" hidden="1">
      <c r="A223" s="21" t="s">
        <v>466</v>
      </c>
      <c r="B223" s="34" t="s">
        <v>26</v>
      </c>
      <c r="C223" s="35">
        <v>6.11</v>
      </c>
    </row>
    <row r="224" spans="1:3" hidden="1">
      <c r="A224" s="21" t="s">
        <v>467</v>
      </c>
      <c r="B224" s="34" t="s">
        <v>26</v>
      </c>
      <c r="C224" s="35">
        <v>19.16</v>
      </c>
    </row>
    <row r="225" spans="1:3" hidden="1">
      <c r="A225" s="21" t="s">
        <v>565</v>
      </c>
      <c r="B225" s="34" t="s">
        <v>26</v>
      </c>
      <c r="C225" s="35">
        <v>4.0999999999999996</v>
      </c>
    </row>
    <row r="226" spans="1:3" hidden="1">
      <c r="A226" s="21" t="s">
        <v>189</v>
      </c>
      <c r="B226" s="34" t="s">
        <v>69</v>
      </c>
      <c r="C226" s="35">
        <v>9.8000000000000007</v>
      </c>
    </row>
    <row r="227" spans="1:3" hidden="1">
      <c r="A227" s="21" t="s">
        <v>185</v>
      </c>
      <c r="B227" s="34" t="s">
        <v>69</v>
      </c>
      <c r="C227" s="35">
        <v>5.6099999999999994</v>
      </c>
    </row>
    <row r="228" spans="1:3" hidden="1">
      <c r="A228" s="21" t="s">
        <v>190</v>
      </c>
      <c r="B228" s="34" t="s">
        <v>69</v>
      </c>
      <c r="C228" s="35">
        <v>12.55</v>
      </c>
    </row>
    <row r="229" spans="1:3" hidden="1">
      <c r="A229" s="21" t="s">
        <v>460</v>
      </c>
      <c r="B229" s="34" t="s">
        <v>26</v>
      </c>
      <c r="C229" s="35">
        <v>5.2</v>
      </c>
    </row>
    <row r="230" spans="1:3" hidden="1">
      <c r="A230" s="21" t="s">
        <v>470</v>
      </c>
      <c r="B230" s="34" t="s">
        <v>26</v>
      </c>
      <c r="C230" s="35">
        <v>4.0999999999999996</v>
      </c>
    </row>
    <row r="231" spans="1:3" hidden="1">
      <c r="A231" s="21" t="s">
        <v>462</v>
      </c>
      <c r="B231" s="34" t="s">
        <v>26</v>
      </c>
      <c r="C231" s="35">
        <v>7.81</v>
      </c>
    </row>
    <row r="232" spans="1:3" hidden="1">
      <c r="A232" s="21" t="s">
        <v>461</v>
      </c>
      <c r="B232" s="34" t="s">
        <v>26</v>
      </c>
      <c r="C232" s="35">
        <v>7.81</v>
      </c>
    </row>
    <row r="233" spans="1:3" hidden="1">
      <c r="A233" s="21" t="s">
        <v>199</v>
      </c>
      <c r="B233" s="34" t="s">
        <v>26</v>
      </c>
      <c r="C233" s="35">
        <v>9.5500000000000007</v>
      </c>
    </row>
    <row r="234" spans="1:3" hidden="1">
      <c r="A234" s="21" t="s">
        <v>566</v>
      </c>
      <c r="B234" s="34" t="s">
        <v>69</v>
      </c>
      <c r="C234" s="35">
        <v>3.18</v>
      </c>
    </row>
    <row r="235" spans="1:3" hidden="1">
      <c r="A235" s="21" t="s">
        <v>188</v>
      </c>
      <c r="B235" s="34" t="s">
        <v>69</v>
      </c>
      <c r="C235" s="35">
        <v>10.51</v>
      </c>
    </row>
    <row r="236" spans="1:3" hidden="1">
      <c r="A236" s="21" t="s">
        <v>187</v>
      </c>
      <c r="B236" s="34" t="s">
        <v>69</v>
      </c>
      <c r="C236" s="35">
        <v>5.6099999999999994</v>
      </c>
    </row>
    <row r="237" spans="1:3" hidden="1">
      <c r="A237" s="21" t="s">
        <v>163</v>
      </c>
      <c r="B237" s="34" t="s">
        <v>14</v>
      </c>
      <c r="C237" s="35">
        <v>19.07</v>
      </c>
    </row>
    <row r="238" spans="1:3" hidden="1">
      <c r="A238" s="21" t="s">
        <v>787</v>
      </c>
      <c r="B238" s="34" t="s">
        <v>10</v>
      </c>
      <c r="C238" s="35">
        <v>22</v>
      </c>
    </row>
    <row r="239" spans="1:3" hidden="1">
      <c r="A239" s="21" t="s">
        <v>788</v>
      </c>
      <c r="B239" s="34" t="s">
        <v>10</v>
      </c>
      <c r="C239" s="35">
        <v>11.5</v>
      </c>
    </row>
    <row r="240" spans="1:3" hidden="1">
      <c r="A240" s="21" t="s">
        <v>789</v>
      </c>
      <c r="B240" s="34" t="s">
        <v>10</v>
      </c>
      <c r="C240" s="35">
        <v>11.5</v>
      </c>
    </row>
    <row r="241" spans="1:3" hidden="1">
      <c r="A241" s="21" t="s">
        <v>174</v>
      </c>
      <c r="B241" s="34" t="s">
        <v>10</v>
      </c>
      <c r="C241" s="35">
        <v>11.5</v>
      </c>
    </row>
    <row r="242" spans="1:3" hidden="1">
      <c r="A242" s="21" t="s">
        <v>790</v>
      </c>
      <c r="B242" s="34" t="s">
        <v>10</v>
      </c>
      <c r="C242" s="35">
        <v>11.5</v>
      </c>
    </row>
    <row r="243" spans="1:3" hidden="1">
      <c r="A243" s="21" t="s">
        <v>791</v>
      </c>
      <c r="B243" s="34" t="s">
        <v>10</v>
      </c>
      <c r="C243" s="35">
        <v>11.5</v>
      </c>
    </row>
    <row r="244" spans="1:3" hidden="1">
      <c r="A244" s="21" t="s">
        <v>792</v>
      </c>
      <c r="B244" s="34" t="s">
        <v>10</v>
      </c>
      <c r="C244" s="35">
        <v>12</v>
      </c>
    </row>
    <row r="245" spans="1:3" hidden="1">
      <c r="A245" s="21" t="s">
        <v>793</v>
      </c>
      <c r="B245" s="34" t="s">
        <v>10</v>
      </c>
      <c r="C245" s="35">
        <v>14</v>
      </c>
    </row>
    <row r="246" spans="1:3" hidden="1">
      <c r="A246" s="21" t="s">
        <v>794</v>
      </c>
      <c r="B246" s="34" t="s">
        <v>10</v>
      </c>
      <c r="C246" s="35">
        <v>14</v>
      </c>
    </row>
    <row r="247" spans="1:3" hidden="1">
      <c r="A247" s="21" t="s">
        <v>795</v>
      </c>
      <c r="B247" s="34" t="s">
        <v>10</v>
      </c>
      <c r="C247" s="35">
        <v>10</v>
      </c>
    </row>
    <row r="248" spans="1:3" hidden="1">
      <c r="A248" s="21" t="s">
        <v>796</v>
      </c>
      <c r="B248" s="34" t="s">
        <v>10</v>
      </c>
      <c r="C248" s="35">
        <v>12</v>
      </c>
    </row>
    <row r="249" spans="1:3" hidden="1">
      <c r="A249" s="21" t="s">
        <v>797</v>
      </c>
      <c r="B249" s="34" t="s">
        <v>10</v>
      </c>
      <c r="C249" s="35">
        <v>8</v>
      </c>
    </row>
    <row r="250" spans="1:3" hidden="1">
      <c r="A250" s="21" t="s">
        <v>798</v>
      </c>
      <c r="B250" s="34" t="s">
        <v>10</v>
      </c>
      <c r="C250" s="35">
        <v>12</v>
      </c>
    </row>
    <row r="251" spans="1:3" hidden="1">
      <c r="A251" s="21" t="s">
        <v>799</v>
      </c>
      <c r="B251" s="34" t="s">
        <v>10</v>
      </c>
      <c r="C251" s="35">
        <v>10</v>
      </c>
    </row>
    <row r="252" spans="1:3" hidden="1">
      <c r="A252" s="21" t="s">
        <v>567</v>
      </c>
      <c r="B252" s="34" t="s">
        <v>10</v>
      </c>
      <c r="C252" s="35">
        <v>108.49056603773585</v>
      </c>
    </row>
    <row r="253" spans="1:3" hidden="1">
      <c r="A253" s="21" t="s">
        <v>568</v>
      </c>
      <c r="B253" s="34" t="s">
        <v>10</v>
      </c>
      <c r="C253" s="35">
        <v>92.452830188679243</v>
      </c>
    </row>
    <row r="254" spans="1:3" hidden="1">
      <c r="A254" s="21" t="s">
        <v>569</v>
      </c>
      <c r="B254" s="34" t="s">
        <v>10</v>
      </c>
      <c r="C254" s="35">
        <v>147.16981132075472</v>
      </c>
    </row>
    <row r="255" spans="1:3" hidden="1">
      <c r="A255" s="21" t="s">
        <v>800</v>
      </c>
      <c r="B255" s="34" t="s">
        <v>10</v>
      </c>
      <c r="C255" s="35">
        <v>12</v>
      </c>
    </row>
    <row r="256" spans="1:3" hidden="1">
      <c r="A256" s="21" t="s">
        <v>801</v>
      </c>
      <c r="B256" s="34" t="s">
        <v>10</v>
      </c>
      <c r="C256" s="35">
        <v>12</v>
      </c>
    </row>
    <row r="257" spans="1:3" hidden="1">
      <c r="A257" s="21" t="s">
        <v>802</v>
      </c>
      <c r="B257" s="34" t="s">
        <v>10</v>
      </c>
      <c r="C257" s="35">
        <v>12</v>
      </c>
    </row>
    <row r="258" spans="1:3" hidden="1">
      <c r="A258" s="21" t="s">
        <v>803</v>
      </c>
      <c r="B258" s="34" t="s">
        <v>10</v>
      </c>
      <c r="C258" s="35">
        <v>12</v>
      </c>
    </row>
    <row r="259" spans="1:3" hidden="1">
      <c r="A259" s="21" t="s">
        <v>804</v>
      </c>
      <c r="B259" s="34" t="s">
        <v>14</v>
      </c>
      <c r="C259" s="35">
        <v>9.16</v>
      </c>
    </row>
    <row r="260" spans="1:3" hidden="1">
      <c r="A260" s="21" t="s">
        <v>805</v>
      </c>
      <c r="B260" s="34" t="s">
        <v>10</v>
      </c>
      <c r="C260" s="35">
        <v>10</v>
      </c>
    </row>
    <row r="261" spans="1:3" hidden="1">
      <c r="A261" s="21" t="s">
        <v>806</v>
      </c>
      <c r="B261" s="34" t="s">
        <v>10</v>
      </c>
      <c r="C261" s="35">
        <v>10</v>
      </c>
    </row>
    <row r="262" spans="1:3" hidden="1">
      <c r="A262" s="21" t="s">
        <v>807</v>
      </c>
      <c r="B262" s="34" t="s">
        <v>10</v>
      </c>
      <c r="C262" s="35">
        <v>10</v>
      </c>
    </row>
    <row r="263" spans="1:3" hidden="1">
      <c r="A263" s="21" t="s">
        <v>808</v>
      </c>
      <c r="B263" s="34" t="s">
        <v>10</v>
      </c>
      <c r="C263" s="35">
        <v>10</v>
      </c>
    </row>
    <row r="264" spans="1:3" hidden="1">
      <c r="A264" s="21" t="s">
        <v>809</v>
      </c>
      <c r="B264" s="34" t="s">
        <v>10</v>
      </c>
      <c r="C264" s="35">
        <v>8</v>
      </c>
    </row>
    <row r="265" spans="1:3" hidden="1">
      <c r="A265" s="21" t="s">
        <v>810</v>
      </c>
      <c r="B265" s="34" t="s">
        <v>10</v>
      </c>
      <c r="C265" s="37">
        <v>10</v>
      </c>
    </row>
    <row r="266" spans="1:3" hidden="1">
      <c r="A266" s="21" t="s">
        <v>811</v>
      </c>
      <c r="B266" s="34" t="s">
        <v>10</v>
      </c>
      <c r="C266" s="35">
        <v>7.96</v>
      </c>
    </row>
    <row r="267" spans="1:3" hidden="1">
      <c r="A267" s="21" t="s">
        <v>812</v>
      </c>
      <c r="B267" s="34" t="s">
        <v>10</v>
      </c>
      <c r="C267" s="35">
        <v>10</v>
      </c>
    </row>
    <row r="268" spans="1:3" hidden="1">
      <c r="A268" s="21" t="s">
        <v>813</v>
      </c>
      <c r="B268" s="34" t="s">
        <v>10</v>
      </c>
      <c r="C268" s="37">
        <v>8</v>
      </c>
    </row>
    <row r="269" spans="1:3" hidden="1">
      <c r="A269" s="21" t="s">
        <v>814</v>
      </c>
      <c r="B269" s="34" t="s">
        <v>10</v>
      </c>
      <c r="C269" s="35">
        <v>8</v>
      </c>
    </row>
    <row r="270" spans="1:3" hidden="1">
      <c r="A270" s="21" t="s">
        <v>815</v>
      </c>
      <c r="B270" s="34" t="s">
        <v>10</v>
      </c>
      <c r="C270" s="35">
        <v>8</v>
      </c>
    </row>
    <row r="271" spans="1:3" hidden="1">
      <c r="A271" s="21" t="s">
        <v>816</v>
      </c>
      <c r="B271" s="34" t="s">
        <v>10</v>
      </c>
      <c r="C271" s="35">
        <v>8</v>
      </c>
    </row>
    <row r="272" spans="1:3" hidden="1">
      <c r="A272" s="21" t="s">
        <v>817</v>
      </c>
      <c r="B272" s="34" t="s">
        <v>10</v>
      </c>
      <c r="C272" s="35">
        <v>8</v>
      </c>
    </row>
    <row r="273" spans="1:3" hidden="1">
      <c r="A273" s="21" t="s">
        <v>818</v>
      </c>
      <c r="B273" s="34" t="s">
        <v>10</v>
      </c>
      <c r="C273" s="35">
        <v>8</v>
      </c>
    </row>
    <row r="274" spans="1:3" hidden="1">
      <c r="A274" s="21" t="s">
        <v>819</v>
      </c>
      <c r="B274" s="34" t="s">
        <v>10</v>
      </c>
      <c r="C274" s="35">
        <v>8</v>
      </c>
    </row>
    <row r="275" spans="1:3" hidden="1">
      <c r="A275" s="21" t="s">
        <v>448</v>
      </c>
      <c r="B275" s="34" t="s">
        <v>10</v>
      </c>
      <c r="C275" s="35">
        <v>8</v>
      </c>
    </row>
    <row r="276" spans="1:3" hidden="1">
      <c r="A276" s="21" t="s">
        <v>450</v>
      </c>
      <c r="B276" s="34" t="s">
        <v>10</v>
      </c>
      <c r="C276" s="35">
        <v>8</v>
      </c>
    </row>
    <row r="277" spans="1:3" hidden="1">
      <c r="A277" s="21" t="s">
        <v>820</v>
      </c>
      <c r="B277" s="34" t="s">
        <v>10</v>
      </c>
      <c r="C277" s="35">
        <v>11.5</v>
      </c>
    </row>
    <row r="278" spans="1:3" hidden="1">
      <c r="A278" s="21" t="s">
        <v>821</v>
      </c>
      <c r="B278" s="34" t="s">
        <v>14</v>
      </c>
      <c r="C278" s="35">
        <v>9.24</v>
      </c>
    </row>
    <row r="279" spans="1:3" hidden="1">
      <c r="A279" s="21" t="s">
        <v>169</v>
      </c>
      <c r="B279" s="34" t="s">
        <v>14</v>
      </c>
      <c r="C279" s="35">
        <v>11.09</v>
      </c>
    </row>
    <row r="280" spans="1:3" hidden="1">
      <c r="A280" s="21" t="s">
        <v>154</v>
      </c>
      <c r="B280" s="34" t="s">
        <v>14</v>
      </c>
      <c r="C280" s="35">
        <v>9.24</v>
      </c>
    </row>
    <row r="281" spans="1:3" hidden="1">
      <c r="A281" s="21" t="s">
        <v>167</v>
      </c>
      <c r="B281" s="34" t="s">
        <v>14</v>
      </c>
      <c r="C281" s="35">
        <v>8.77</v>
      </c>
    </row>
    <row r="282" spans="1:3" hidden="1">
      <c r="A282" s="21" t="s">
        <v>165</v>
      </c>
      <c r="B282" s="34" t="s">
        <v>14</v>
      </c>
      <c r="C282" s="35">
        <v>9.07</v>
      </c>
    </row>
    <row r="283" spans="1:3" hidden="1">
      <c r="A283" s="21" t="s">
        <v>166</v>
      </c>
      <c r="B283" s="34" t="s">
        <v>14</v>
      </c>
      <c r="C283" s="35">
        <v>9.16</v>
      </c>
    </row>
    <row r="284" spans="1:3" hidden="1">
      <c r="A284" s="21" t="s">
        <v>168</v>
      </c>
      <c r="B284" s="34" t="s">
        <v>14</v>
      </c>
      <c r="C284" s="35">
        <v>11.09</v>
      </c>
    </row>
    <row r="285" spans="1:3" hidden="1">
      <c r="A285" s="21" t="s">
        <v>172</v>
      </c>
      <c r="B285" s="34" t="s">
        <v>14</v>
      </c>
      <c r="C285" s="35">
        <v>12.77</v>
      </c>
    </row>
    <row r="286" spans="1:3" hidden="1">
      <c r="A286" s="21" t="s">
        <v>455</v>
      </c>
      <c r="B286" s="34" t="s">
        <v>10</v>
      </c>
      <c r="C286" s="35">
        <v>8</v>
      </c>
    </row>
    <row r="287" spans="1:3" hidden="1">
      <c r="A287" s="21" t="s">
        <v>452</v>
      </c>
      <c r="B287" s="34" t="s">
        <v>10</v>
      </c>
      <c r="C287" s="35">
        <v>8</v>
      </c>
    </row>
    <row r="288" spans="1:3" hidden="1">
      <c r="A288" s="21" t="s">
        <v>451</v>
      </c>
      <c r="B288" s="34" t="s">
        <v>10</v>
      </c>
      <c r="C288" s="35">
        <v>8</v>
      </c>
    </row>
    <row r="289" spans="1:3" hidden="1">
      <c r="A289" s="21" t="s">
        <v>453</v>
      </c>
      <c r="B289" s="34" t="s">
        <v>10</v>
      </c>
      <c r="C289" s="35">
        <v>8</v>
      </c>
    </row>
    <row r="290" spans="1:3" hidden="1">
      <c r="A290" s="21" t="s">
        <v>454</v>
      </c>
      <c r="B290" s="34" t="s">
        <v>10</v>
      </c>
      <c r="C290" s="35">
        <v>8</v>
      </c>
    </row>
    <row r="291" spans="1:3" hidden="1">
      <c r="A291" s="21" t="s">
        <v>822</v>
      </c>
      <c r="B291" s="34" t="s">
        <v>10</v>
      </c>
      <c r="C291" s="35">
        <v>8</v>
      </c>
    </row>
    <row r="292" spans="1:3" hidden="1">
      <c r="A292" s="21" t="s">
        <v>823</v>
      </c>
      <c r="B292" s="34" t="s">
        <v>10</v>
      </c>
      <c r="C292" s="35">
        <v>8</v>
      </c>
    </row>
    <row r="293" spans="1:3" hidden="1">
      <c r="A293" s="21" t="s">
        <v>824</v>
      </c>
      <c r="B293" s="34" t="s">
        <v>10</v>
      </c>
      <c r="C293" s="35">
        <v>8</v>
      </c>
    </row>
    <row r="294" spans="1:3" hidden="1">
      <c r="A294" s="21" t="s">
        <v>155</v>
      </c>
      <c r="B294" s="34" t="s">
        <v>14</v>
      </c>
      <c r="C294" s="35">
        <v>17.46</v>
      </c>
    </row>
    <row r="295" spans="1:3" hidden="1">
      <c r="A295" s="21" t="s">
        <v>161</v>
      </c>
      <c r="B295" s="34" t="s">
        <v>14</v>
      </c>
      <c r="C295" s="35">
        <v>18.670000000000002</v>
      </c>
    </row>
    <row r="296" spans="1:3" hidden="1">
      <c r="A296" s="21" t="s">
        <v>160</v>
      </c>
      <c r="B296" s="34" t="s">
        <v>14</v>
      </c>
      <c r="C296" s="35">
        <v>18.190000000000001</v>
      </c>
    </row>
    <row r="297" spans="1:3" hidden="1">
      <c r="A297" s="21" t="s">
        <v>162</v>
      </c>
      <c r="B297" s="34" t="s">
        <v>14</v>
      </c>
      <c r="C297" s="35">
        <v>21.26</v>
      </c>
    </row>
    <row r="298" spans="1:3" hidden="1">
      <c r="A298" s="21" t="s">
        <v>164</v>
      </c>
      <c r="B298" s="34" t="s">
        <v>14</v>
      </c>
      <c r="C298" s="35">
        <v>9.1999999999999993</v>
      </c>
    </row>
    <row r="299" spans="1:3" hidden="1">
      <c r="A299" s="21" t="s">
        <v>444</v>
      </c>
      <c r="B299" s="34" t="s">
        <v>10</v>
      </c>
      <c r="C299" s="35">
        <v>8</v>
      </c>
    </row>
    <row r="300" spans="1:3" hidden="1">
      <c r="A300" s="21" t="s">
        <v>445</v>
      </c>
      <c r="B300" s="34" t="s">
        <v>10</v>
      </c>
      <c r="C300" s="35">
        <v>8</v>
      </c>
    </row>
    <row r="301" spans="1:3" hidden="1">
      <c r="A301" s="21" t="s">
        <v>449</v>
      </c>
      <c r="B301" s="34" t="s">
        <v>10</v>
      </c>
      <c r="C301" s="35">
        <v>8</v>
      </c>
    </row>
    <row r="302" spans="1:3" hidden="1">
      <c r="A302" s="21" t="s">
        <v>456</v>
      </c>
      <c r="B302" s="34" t="s">
        <v>10</v>
      </c>
      <c r="C302" s="35">
        <v>8</v>
      </c>
    </row>
    <row r="303" spans="1:3" hidden="1">
      <c r="A303" s="21" t="s">
        <v>825</v>
      </c>
      <c r="B303" s="34" t="s">
        <v>10</v>
      </c>
      <c r="C303" s="35">
        <v>7.9648948501407526</v>
      </c>
    </row>
    <row r="304" spans="1:3" hidden="1">
      <c r="A304" s="21" t="s">
        <v>157</v>
      </c>
      <c r="B304" s="34" t="s">
        <v>10</v>
      </c>
      <c r="C304" s="35">
        <v>8</v>
      </c>
    </row>
    <row r="305" spans="1:3" hidden="1">
      <c r="A305" s="21" t="s">
        <v>158</v>
      </c>
      <c r="B305" s="34" t="s">
        <v>10</v>
      </c>
      <c r="C305" s="35">
        <v>8.9</v>
      </c>
    </row>
    <row r="306" spans="1:3" hidden="1">
      <c r="A306" s="21" t="s">
        <v>159</v>
      </c>
      <c r="B306" s="34" t="s">
        <v>10</v>
      </c>
      <c r="C306" s="35">
        <v>8.82</v>
      </c>
    </row>
    <row r="307" spans="1:3" hidden="1">
      <c r="A307" s="21" t="s">
        <v>826</v>
      </c>
      <c r="B307" s="34" t="s">
        <v>10</v>
      </c>
      <c r="C307" s="35">
        <v>8.82</v>
      </c>
    </row>
    <row r="308" spans="1:3" hidden="1">
      <c r="A308" s="21" t="s">
        <v>827</v>
      </c>
      <c r="B308" s="34" t="s">
        <v>10</v>
      </c>
      <c r="C308" s="35">
        <v>14</v>
      </c>
    </row>
    <row r="309" spans="1:3" hidden="1">
      <c r="A309" s="21" t="s">
        <v>828</v>
      </c>
      <c r="B309" s="34" t="s">
        <v>10</v>
      </c>
      <c r="C309" s="35">
        <v>9.24</v>
      </c>
    </row>
    <row r="310" spans="1:3" hidden="1">
      <c r="A310" s="21" t="s">
        <v>829</v>
      </c>
      <c r="B310" s="34" t="s">
        <v>10</v>
      </c>
      <c r="C310" s="35">
        <v>9.24</v>
      </c>
    </row>
    <row r="311" spans="1:3" hidden="1">
      <c r="A311" s="21" t="s">
        <v>171</v>
      </c>
      <c r="B311" s="34" t="s">
        <v>14</v>
      </c>
      <c r="C311" s="35">
        <v>12.37</v>
      </c>
    </row>
    <row r="312" spans="1:3" hidden="1">
      <c r="A312" s="21" t="s">
        <v>830</v>
      </c>
      <c r="B312" s="34" t="s">
        <v>10</v>
      </c>
      <c r="C312" s="35">
        <v>12.37</v>
      </c>
    </row>
    <row r="313" spans="1:3" hidden="1">
      <c r="A313" s="21" t="s">
        <v>831</v>
      </c>
      <c r="B313" s="34" t="s">
        <v>10</v>
      </c>
      <c r="C313" s="35">
        <v>12</v>
      </c>
    </row>
    <row r="314" spans="1:3" hidden="1">
      <c r="A314" s="21" t="s">
        <v>832</v>
      </c>
      <c r="B314" s="34" t="s">
        <v>10</v>
      </c>
      <c r="C314" s="35">
        <v>12</v>
      </c>
    </row>
    <row r="315" spans="1:3" hidden="1">
      <c r="A315" s="21" t="s">
        <v>833</v>
      </c>
      <c r="B315" s="34" t="s">
        <v>10</v>
      </c>
      <c r="C315" s="35">
        <v>7.96</v>
      </c>
    </row>
    <row r="316" spans="1:3" hidden="1">
      <c r="A316" s="21" t="s">
        <v>834</v>
      </c>
      <c r="B316" s="34" t="s">
        <v>10</v>
      </c>
      <c r="C316" s="35">
        <v>7.96</v>
      </c>
    </row>
    <row r="317" spans="1:3" hidden="1">
      <c r="A317" s="21" t="s">
        <v>835</v>
      </c>
      <c r="B317" s="34" t="s">
        <v>10</v>
      </c>
      <c r="C317" s="35">
        <v>11.5</v>
      </c>
    </row>
    <row r="318" spans="1:3" hidden="1">
      <c r="A318" s="21" t="s">
        <v>170</v>
      </c>
      <c r="B318" s="34" t="s">
        <v>14</v>
      </c>
      <c r="C318" s="35">
        <v>9.67</v>
      </c>
    </row>
    <row r="319" spans="1:3" hidden="1">
      <c r="A319" s="21" t="s">
        <v>446</v>
      </c>
      <c r="B319" s="34" t="s">
        <v>10</v>
      </c>
      <c r="C319" s="35">
        <v>8</v>
      </c>
    </row>
    <row r="320" spans="1:3" hidden="1">
      <c r="A320" s="21" t="s">
        <v>836</v>
      </c>
      <c r="B320" s="34" t="s">
        <v>10</v>
      </c>
      <c r="C320" s="35">
        <v>10</v>
      </c>
    </row>
    <row r="321" spans="1:3" hidden="1">
      <c r="A321" s="21" t="s">
        <v>837</v>
      </c>
      <c r="B321" s="34" t="s">
        <v>10</v>
      </c>
      <c r="C321" s="35">
        <v>14</v>
      </c>
    </row>
    <row r="322" spans="1:3" hidden="1">
      <c r="A322" s="21" t="s">
        <v>838</v>
      </c>
      <c r="B322" s="34" t="s">
        <v>10</v>
      </c>
      <c r="C322" s="35">
        <v>10</v>
      </c>
    </row>
    <row r="323" spans="1:3" hidden="1">
      <c r="A323" s="21" t="s">
        <v>839</v>
      </c>
      <c r="B323" s="34" t="s">
        <v>10</v>
      </c>
      <c r="C323" s="35">
        <v>10</v>
      </c>
    </row>
    <row r="324" spans="1:3" hidden="1">
      <c r="A324" s="21" t="s">
        <v>447</v>
      </c>
      <c r="B324" s="34" t="s">
        <v>10</v>
      </c>
      <c r="C324" s="35">
        <v>8</v>
      </c>
    </row>
    <row r="325" spans="1:3" hidden="1">
      <c r="A325" s="21" t="s">
        <v>458</v>
      </c>
      <c r="B325" s="34" t="s">
        <v>10</v>
      </c>
      <c r="C325" s="35">
        <v>14</v>
      </c>
    </row>
    <row r="326" spans="1:3" hidden="1">
      <c r="A326" s="21" t="s">
        <v>840</v>
      </c>
      <c r="B326" s="34" t="s">
        <v>10</v>
      </c>
      <c r="C326" s="35">
        <v>14</v>
      </c>
    </row>
    <row r="327" spans="1:3" hidden="1">
      <c r="A327" s="21" t="s">
        <v>841</v>
      </c>
      <c r="B327" s="34" t="s">
        <v>10</v>
      </c>
      <c r="C327" s="35">
        <v>22</v>
      </c>
    </row>
    <row r="328" spans="1:3" hidden="1">
      <c r="A328" s="21" t="s">
        <v>459</v>
      </c>
      <c r="B328" s="34" t="s">
        <v>10</v>
      </c>
      <c r="C328" s="35">
        <v>18</v>
      </c>
    </row>
    <row r="329" spans="1:3" hidden="1">
      <c r="A329" s="21" t="s">
        <v>842</v>
      </c>
      <c r="B329" s="34" t="s">
        <v>10</v>
      </c>
      <c r="C329" s="35">
        <v>10</v>
      </c>
    </row>
    <row r="330" spans="1:3" hidden="1">
      <c r="A330" s="21" t="s">
        <v>457</v>
      </c>
      <c r="B330" s="34" t="s">
        <v>10</v>
      </c>
      <c r="C330" s="35">
        <v>8</v>
      </c>
    </row>
    <row r="331" spans="1:3" hidden="1">
      <c r="A331" s="21" t="s">
        <v>843</v>
      </c>
      <c r="B331" s="34" t="s">
        <v>10</v>
      </c>
      <c r="C331" s="35">
        <v>10</v>
      </c>
    </row>
    <row r="332" spans="1:3" hidden="1">
      <c r="A332" s="21" t="s">
        <v>844</v>
      </c>
      <c r="B332" s="34" t="s">
        <v>10</v>
      </c>
      <c r="C332" s="35">
        <v>8.8699999999999992</v>
      </c>
    </row>
    <row r="333" spans="1:3" hidden="1">
      <c r="A333" s="21" t="s">
        <v>845</v>
      </c>
      <c r="B333" s="34" t="s">
        <v>10</v>
      </c>
      <c r="C333" s="35">
        <v>8.8699999999999992</v>
      </c>
    </row>
    <row r="334" spans="1:3" hidden="1">
      <c r="A334" s="21" t="s">
        <v>846</v>
      </c>
      <c r="B334" s="34" t="s">
        <v>10</v>
      </c>
      <c r="C334" s="35">
        <v>8</v>
      </c>
    </row>
    <row r="335" spans="1:3" hidden="1">
      <c r="A335" s="21" t="s">
        <v>156</v>
      </c>
      <c r="B335" s="34" t="s">
        <v>10</v>
      </c>
      <c r="C335" s="35">
        <v>8</v>
      </c>
    </row>
    <row r="336" spans="1:3" hidden="1">
      <c r="A336" s="21" t="s">
        <v>847</v>
      </c>
      <c r="B336" s="34" t="s">
        <v>10</v>
      </c>
      <c r="C336" s="35">
        <v>8</v>
      </c>
    </row>
    <row r="337" spans="1:3" hidden="1">
      <c r="A337" s="21" t="s">
        <v>848</v>
      </c>
      <c r="B337" s="34" t="s">
        <v>10</v>
      </c>
      <c r="C337" s="35">
        <v>8</v>
      </c>
    </row>
    <row r="338" spans="1:3" hidden="1">
      <c r="A338" s="21" t="s">
        <v>849</v>
      </c>
      <c r="B338" s="34" t="s">
        <v>10</v>
      </c>
      <c r="C338" s="35">
        <v>8</v>
      </c>
    </row>
    <row r="339" spans="1:3" hidden="1">
      <c r="A339" s="21" t="s">
        <v>850</v>
      </c>
      <c r="B339" s="34" t="s">
        <v>10</v>
      </c>
      <c r="C339" s="35">
        <v>14</v>
      </c>
    </row>
    <row r="340" spans="1:3" hidden="1">
      <c r="A340" s="21" t="s">
        <v>851</v>
      </c>
      <c r="B340" s="34" t="s">
        <v>10</v>
      </c>
      <c r="C340" s="35">
        <v>8</v>
      </c>
    </row>
    <row r="341" spans="1:3" hidden="1">
      <c r="A341" s="21" t="s">
        <v>852</v>
      </c>
      <c r="B341" s="34" t="s">
        <v>10</v>
      </c>
      <c r="C341" s="35">
        <v>8</v>
      </c>
    </row>
    <row r="342" spans="1:3" hidden="1">
      <c r="A342" s="21" t="s">
        <v>853</v>
      </c>
      <c r="B342" s="34" t="s">
        <v>10</v>
      </c>
      <c r="C342" s="35">
        <v>8</v>
      </c>
    </row>
    <row r="343" spans="1:3" hidden="1">
      <c r="A343" s="21" t="s">
        <v>854</v>
      </c>
      <c r="B343" s="34" t="s">
        <v>10</v>
      </c>
      <c r="C343" s="35">
        <v>10</v>
      </c>
    </row>
    <row r="344" spans="1:3" hidden="1">
      <c r="A344" s="21" t="s">
        <v>855</v>
      </c>
      <c r="B344" s="34" t="s">
        <v>10</v>
      </c>
      <c r="C344" s="35">
        <v>10</v>
      </c>
    </row>
    <row r="345" spans="1:3" hidden="1">
      <c r="A345" s="21" t="s">
        <v>856</v>
      </c>
      <c r="B345" s="34" t="s">
        <v>10</v>
      </c>
      <c r="C345" s="35">
        <v>10</v>
      </c>
    </row>
    <row r="346" spans="1:3" hidden="1">
      <c r="A346" s="21" t="s">
        <v>857</v>
      </c>
      <c r="B346" s="34" t="s">
        <v>10</v>
      </c>
      <c r="C346" s="35">
        <v>10</v>
      </c>
    </row>
    <row r="347" spans="1:3" hidden="1">
      <c r="A347" s="21" t="s">
        <v>858</v>
      </c>
      <c r="B347" s="34" t="s">
        <v>10</v>
      </c>
      <c r="C347" s="35">
        <v>10</v>
      </c>
    </row>
    <row r="348" spans="1:3" hidden="1">
      <c r="A348" s="21" t="s">
        <v>520</v>
      </c>
      <c r="B348" s="34" t="s">
        <v>10</v>
      </c>
      <c r="C348" s="35">
        <v>12</v>
      </c>
    </row>
    <row r="349" spans="1:3" hidden="1">
      <c r="A349" s="21" t="s">
        <v>859</v>
      </c>
      <c r="B349" s="34" t="s">
        <v>10</v>
      </c>
      <c r="C349" s="35">
        <v>14</v>
      </c>
    </row>
    <row r="350" spans="1:3" hidden="1">
      <c r="A350" s="21" t="s">
        <v>860</v>
      </c>
      <c r="B350" s="34" t="s">
        <v>10</v>
      </c>
      <c r="C350" s="35">
        <v>14</v>
      </c>
    </row>
    <row r="351" spans="1:3" hidden="1">
      <c r="A351" s="21" t="s">
        <v>861</v>
      </c>
      <c r="B351" s="34" t="s">
        <v>10</v>
      </c>
      <c r="C351" s="35">
        <v>14</v>
      </c>
    </row>
    <row r="352" spans="1:3" hidden="1">
      <c r="A352" s="21" t="s">
        <v>862</v>
      </c>
      <c r="B352" s="34" t="s">
        <v>10</v>
      </c>
      <c r="C352" s="35">
        <v>14</v>
      </c>
    </row>
    <row r="353" spans="1:3" hidden="1">
      <c r="A353" s="21" t="s">
        <v>534</v>
      </c>
      <c r="B353" s="34" t="s">
        <v>10</v>
      </c>
      <c r="C353" s="35">
        <v>8</v>
      </c>
    </row>
    <row r="354" spans="1:3" hidden="1">
      <c r="A354" s="21" t="s">
        <v>533</v>
      </c>
      <c r="B354" s="34" t="s">
        <v>10</v>
      </c>
      <c r="C354" s="35">
        <v>8</v>
      </c>
    </row>
    <row r="355" spans="1:3" hidden="1">
      <c r="A355" s="21" t="s">
        <v>863</v>
      </c>
      <c r="B355" s="34" t="s">
        <v>10</v>
      </c>
      <c r="C355" s="35">
        <v>14</v>
      </c>
    </row>
    <row r="356" spans="1:3" hidden="1">
      <c r="A356" s="21" t="s">
        <v>152</v>
      </c>
      <c r="B356" s="34" t="s">
        <v>10</v>
      </c>
      <c r="C356" s="35">
        <v>86</v>
      </c>
    </row>
    <row r="357" spans="1:3" hidden="1">
      <c r="A357" s="21" t="s">
        <v>153</v>
      </c>
      <c r="B357" s="34" t="s">
        <v>10</v>
      </c>
      <c r="C357" s="35">
        <v>86</v>
      </c>
    </row>
    <row r="358" spans="1:3" hidden="1">
      <c r="A358" s="21" t="s">
        <v>260</v>
      </c>
      <c r="B358" s="34" t="s">
        <v>10</v>
      </c>
      <c r="C358" s="35">
        <v>7.35</v>
      </c>
    </row>
    <row r="359" spans="1:3" hidden="1">
      <c r="A359" s="21" t="s">
        <v>261</v>
      </c>
      <c r="B359" s="34" t="s">
        <v>10</v>
      </c>
      <c r="C359" s="35">
        <v>7.33</v>
      </c>
    </row>
    <row r="360" spans="1:3" hidden="1">
      <c r="A360" s="21" t="s">
        <v>259</v>
      </c>
      <c r="B360" s="34" t="s">
        <v>14</v>
      </c>
      <c r="C360" s="35">
        <v>12.35</v>
      </c>
    </row>
    <row r="361" spans="1:3" hidden="1">
      <c r="A361" s="21" t="s">
        <v>151</v>
      </c>
      <c r="B361" s="34" t="s">
        <v>14</v>
      </c>
      <c r="C361" s="35">
        <v>112</v>
      </c>
    </row>
    <row r="362" spans="1:3" hidden="1">
      <c r="A362" s="21" t="s">
        <v>146</v>
      </c>
      <c r="B362" s="34" t="s">
        <v>10</v>
      </c>
      <c r="C362" s="35">
        <v>58.47</v>
      </c>
    </row>
    <row r="363" spans="1:3" hidden="1">
      <c r="A363" s="21" t="s">
        <v>145</v>
      </c>
      <c r="B363" s="34" t="s">
        <v>10</v>
      </c>
      <c r="C363" s="35">
        <v>58.47</v>
      </c>
    </row>
    <row r="364" spans="1:3" hidden="1">
      <c r="A364" s="21" t="s">
        <v>147</v>
      </c>
      <c r="B364" s="34" t="s">
        <v>14</v>
      </c>
      <c r="C364" s="35">
        <v>130.47</v>
      </c>
    </row>
    <row r="365" spans="1:3" hidden="1">
      <c r="A365" s="21" t="s">
        <v>150</v>
      </c>
      <c r="B365" s="34" t="s">
        <v>14</v>
      </c>
      <c r="C365" s="35">
        <v>100.47</v>
      </c>
    </row>
    <row r="366" spans="1:3" hidden="1">
      <c r="A366" s="21" t="s">
        <v>149</v>
      </c>
      <c r="B366" s="34" t="s">
        <v>14</v>
      </c>
      <c r="C366" s="35">
        <v>84.0565</v>
      </c>
    </row>
    <row r="367" spans="1:3" hidden="1">
      <c r="A367" s="21" t="s">
        <v>148</v>
      </c>
      <c r="B367" s="34" t="s">
        <v>14</v>
      </c>
      <c r="C367" s="35">
        <v>80.150000000000006</v>
      </c>
    </row>
    <row r="368" spans="1:3" hidden="1">
      <c r="A368" s="21" t="s">
        <v>864</v>
      </c>
      <c r="B368" s="34" t="s">
        <v>131</v>
      </c>
      <c r="C368" s="35">
        <v>112</v>
      </c>
    </row>
    <row r="369" spans="1:3" hidden="1">
      <c r="A369" s="21" t="s">
        <v>80</v>
      </c>
      <c r="B369" s="34" t="s">
        <v>14</v>
      </c>
      <c r="C369" s="35">
        <v>63.21</v>
      </c>
    </row>
    <row r="370" spans="1:3" hidden="1">
      <c r="A370" s="21" t="s">
        <v>82</v>
      </c>
      <c r="B370" s="34" t="s">
        <v>14</v>
      </c>
      <c r="C370" s="35">
        <v>56.430389574166668</v>
      </c>
    </row>
    <row r="371" spans="1:3" hidden="1">
      <c r="A371" s="21" t="s">
        <v>81</v>
      </c>
      <c r="B371" s="34" t="s">
        <v>14</v>
      </c>
      <c r="C371" s="35">
        <v>104.4</v>
      </c>
    </row>
    <row r="372" spans="1:3" hidden="1">
      <c r="A372" s="21" t="s">
        <v>84</v>
      </c>
      <c r="B372" s="34" t="s">
        <v>10</v>
      </c>
      <c r="C372" s="35">
        <v>71.599999999999994</v>
      </c>
    </row>
    <row r="373" spans="1:3" hidden="1">
      <c r="A373" s="21" t="s">
        <v>331</v>
      </c>
      <c r="B373" s="34" t="s">
        <v>14</v>
      </c>
      <c r="C373" s="35">
        <v>37.700000000000003</v>
      </c>
    </row>
    <row r="374" spans="1:3" hidden="1">
      <c r="A374" s="21" t="s">
        <v>333</v>
      </c>
      <c r="B374" s="34" t="s">
        <v>14</v>
      </c>
      <c r="C374" s="35">
        <v>60.75</v>
      </c>
    </row>
    <row r="375" spans="1:3" hidden="1">
      <c r="A375" s="21" t="s">
        <v>865</v>
      </c>
      <c r="B375" s="34" t="s">
        <v>14</v>
      </c>
      <c r="C375" s="35">
        <v>60.75</v>
      </c>
    </row>
    <row r="376" spans="1:3" hidden="1">
      <c r="A376" s="21" t="s">
        <v>476</v>
      </c>
      <c r="B376" s="34" t="s">
        <v>10</v>
      </c>
      <c r="C376" s="35">
        <v>60</v>
      </c>
    </row>
    <row r="377" spans="1:3" hidden="1">
      <c r="A377" s="21" t="s">
        <v>279</v>
      </c>
      <c r="B377" s="34" t="s">
        <v>10</v>
      </c>
      <c r="C377" s="35">
        <v>42.074999999999996</v>
      </c>
    </row>
    <row r="378" spans="1:3" hidden="1">
      <c r="A378" s="21" t="s">
        <v>278</v>
      </c>
      <c r="B378" s="34" t="s">
        <v>10</v>
      </c>
      <c r="C378" s="35">
        <v>60.25</v>
      </c>
    </row>
    <row r="379" spans="1:3" hidden="1">
      <c r="A379" s="21" t="s">
        <v>332</v>
      </c>
      <c r="B379" s="34" t="s">
        <v>14</v>
      </c>
      <c r="C379" s="35">
        <v>80.5</v>
      </c>
    </row>
    <row r="380" spans="1:3" hidden="1">
      <c r="A380" s="21" t="s">
        <v>866</v>
      </c>
      <c r="B380" s="34" t="s">
        <v>14</v>
      </c>
      <c r="C380" s="35">
        <v>60.25</v>
      </c>
    </row>
    <row r="381" spans="1:3" hidden="1">
      <c r="A381" s="21" t="s">
        <v>867</v>
      </c>
      <c r="B381" s="34" t="s">
        <v>14</v>
      </c>
      <c r="C381" s="35">
        <v>60.25</v>
      </c>
    </row>
    <row r="382" spans="1:3" hidden="1">
      <c r="A382" s="21" t="s">
        <v>868</v>
      </c>
      <c r="B382" s="34" t="s">
        <v>14</v>
      </c>
      <c r="C382" s="35">
        <v>60.25</v>
      </c>
    </row>
    <row r="383" spans="1:3" hidden="1">
      <c r="A383" s="21" t="s">
        <v>869</v>
      </c>
      <c r="B383" s="34" t="s">
        <v>14</v>
      </c>
      <c r="C383" s="35">
        <v>60.25</v>
      </c>
    </row>
    <row r="384" spans="1:3" hidden="1">
      <c r="A384" s="21" t="s">
        <v>870</v>
      </c>
      <c r="B384" s="34" t="s">
        <v>10</v>
      </c>
      <c r="C384" s="35">
        <v>60.25</v>
      </c>
    </row>
    <row r="385" spans="1:3" hidden="1">
      <c r="A385" s="21" t="s">
        <v>871</v>
      </c>
      <c r="B385" s="34" t="s">
        <v>14</v>
      </c>
      <c r="C385" s="35">
        <v>1200</v>
      </c>
    </row>
    <row r="386" spans="1:3" hidden="1">
      <c r="A386" s="21" t="s">
        <v>439</v>
      </c>
      <c r="B386" s="34" t="s">
        <v>10</v>
      </c>
      <c r="C386" s="35">
        <v>14</v>
      </c>
    </row>
    <row r="387" spans="1:3" hidden="1">
      <c r="A387" s="21" t="s">
        <v>872</v>
      </c>
      <c r="B387" s="34" t="s">
        <v>14</v>
      </c>
      <c r="C387" s="35">
        <v>8.1999999999999993</v>
      </c>
    </row>
    <row r="388" spans="1:3" hidden="1">
      <c r="A388" s="21" t="s">
        <v>873</v>
      </c>
      <c r="B388" s="34" t="s">
        <v>10</v>
      </c>
      <c r="C388" s="35">
        <v>58.47</v>
      </c>
    </row>
    <row r="389" spans="1:3" hidden="1">
      <c r="A389" s="21" t="s">
        <v>74</v>
      </c>
      <c r="B389" s="34" t="s">
        <v>14</v>
      </c>
      <c r="C389" s="35">
        <v>40.549999999999997</v>
      </c>
    </row>
    <row r="390" spans="1:3" hidden="1">
      <c r="A390" s="21" t="s">
        <v>77</v>
      </c>
      <c r="B390" s="34" t="s">
        <v>14</v>
      </c>
      <c r="C390" s="35">
        <v>33.29</v>
      </c>
    </row>
    <row r="391" spans="1:3" hidden="1">
      <c r="A391" s="21" t="s">
        <v>78</v>
      </c>
      <c r="B391" s="34" t="s">
        <v>14</v>
      </c>
      <c r="C391" s="35">
        <v>37.102499999999999</v>
      </c>
    </row>
    <row r="392" spans="1:3" hidden="1">
      <c r="A392" s="21" t="s">
        <v>874</v>
      </c>
      <c r="B392" s="34" t="s">
        <v>14</v>
      </c>
      <c r="C392" s="35">
        <v>53.9</v>
      </c>
    </row>
    <row r="393" spans="1:3" hidden="1">
      <c r="A393" s="36" t="s">
        <v>875</v>
      </c>
      <c r="B393" s="34" t="s">
        <v>10</v>
      </c>
      <c r="C393" s="35">
        <v>207.54716981132074</v>
      </c>
    </row>
    <row r="394" spans="1:3" hidden="1">
      <c r="A394" s="21" t="s">
        <v>570</v>
      </c>
      <c r="B394" s="34" t="s">
        <v>10</v>
      </c>
      <c r="C394" s="35">
        <v>207.54716981132074</v>
      </c>
    </row>
    <row r="395" spans="1:3" hidden="1">
      <c r="A395" s="21" t="s">
        <v>876</v>
      </c>
      <c r="B395" s="34" t="s">
        <v>10</v>
      </c>
      <c r="C395" s="35">
        <v>18</v>
      </c>
    </row>
    <row r="396" spans="1:3" hidden="1">
      <c r="A396" s="21" t="s">
        <v>877</v>
      </c>
      <c r="B396" s="34" t="s">
        <v>10</v>
      </c>
      <c r="C396" s="35">
        <v>231</v>
      </c>
    </row>
    <row r="397" spans="1:3" hidden="1">
      <c r="A397" s="21" t="s">
        <v>878</v>
      </c>
      <c r="B397" s="34" t="s">
        <v>10</v>
      </c>
      <c r="C397" s="35">
        <v>10</v>
      </c>
    </row>
    <row r="398" spans="1:3" hidden="1">
      <c r="A398" s="21" t="s">
        <v>879</v>
      </c>
      <c r="B398" s="34" t="s">
        <v>10</v>
      </c>
      <c r="C398" s="35">
        <v>22</v>
      </c>
    </row>
    <row r="399" spans="1:3" hidden="1">
      <c r="A399" s="21" t="s">
        <v>880</v>
      </c>
      <c r="B399" s="34" t="s">
        <v>10</v>
      </c>
      <c r="C399" s="35">
        <v>10</v>
      </c>
    </row>
    <row r="400" spans="1:3" hidden="1">
      <c r="A400" s="21" t="s">
        <v>881</v>
      </c>
      <c r="B400" s="34" t="s">
        <v>14</v>
      </c>
      <c r="C400" s="35">
        <v>15000</v>
      </c>
    </row>
    <row r="401" spans="1:3" hidden="1">
      <c r="A401" s="21" t="s">
        <v>521</v>
      </c>
      <c r="B401" s="34" t="s">
        <v>69</v>
      </c>
      <c r="C401" s="35">
        <v>5</v>
      </c>
    </row>
    <row r="402" spans="1:3" hidden="1">
      <c r="A402" s="21" t="s">
        <v>571</v>
      </c>
      <c r="B402" s="34" t="s">
        <v>384</v>
      </c>
      <c r="C402" s="35">
        <v>2594.3396226415093</v>
      </c>
    </row>
    <row r="403" spans="1:3" hidden="1">
      <c r="A403" s="21" t="s">
        <v>572</v>
      </c>
      <c r="B403" s="34" t="s">
        <v>384</v>
      </c>
      <c r="C403" s="35">
        <v>2735.8490566037735</v>
      </c>
    </row>
    <row r="404" spans="1:3" hidden="1">
      <c r="A404" s="21" t="s">
        <v>573</v>
      </c>
      <c r="B404" s="34" t="s">
        <v>14</v>
      </c>
      <c r="C404" s="35">
        <v>7000</v>
      </c>
    </row>
    <row r="405" spans="1:3" hidden="1">
      <c r="A405" s="21" t="s">
        <v>574</v>
      </c>
      <c r="B405" s="34" t="s">
        <v>10</v>
      </c>
      <c r="C405" s="35">
        <v>15.094339622641508</v>
      </c>
    </row>
    <row r="406" spans="1:3" hidden="1">
      <c r="A406" s="21" t="s">
        <v>882</v>
      </c>
      <c r="B406" s="34" t="s">
        <v>10</v>
      </c>
      <c r="C406" s="35">
        <v>5</v>
      </c>
    </row>
    <row r="407" spans="1:3" hidden="1">
      <c r="A407" s="21" t="s">
        <v>348</v>
      </c>
      <c r="B407" s="34" t="s">
        <v>10</v>
      </c>
      <c r="C407" s="35">
        <v>5</v>
      </c>
    </row>
    <row r="408" spans="1:3" hidden="1">
      <c r="A408" s="21" t="s">
        <v>475</v>
      </c>
      <c r="B408" s="34" t="s">
        <v>10</v>
      </c>
      <c r="C408" s="35">
        <v>18</v>
      </c>
    </row>
    <row r="409" spans="1:3" hidden="1">
      <c r="A409" s="21" t="s">
        <v>575</v>
      </c>
      <c r="B409" s="34" t="s">
        <v>10</v>
      </c>
      <c r="C409" s="35">
        <v>24</v>
      </c>
    </row>
    <row r="410" spans="1:3" hidden="1">
      <c r="A410" s="21" t="s">
        <v>474</v>
      </c>
      <c r="B410" s="34" t="s">
        <v>10</v>
      </c>
      <c r="C410" s="35">
        <v>18</v>
      </c>
    </row>
    <row r="411" spans="1:3" hidden="1">
      <c r="A411" s="21" t="s">
        <v>367</v>
      </c>
      <c r="B411" s="34" t="s">
        <v>10</v>
      </c>
      <c r="C411" s="35">
        <v>420</v>
      </c>
    </row>
    <row r="412" spans="1:3" hidden="1">
      <c r="A412" s="21" t="s">
        <v>366</v>
      </c>
      <c r="B412" s="34" t="s">
        <v>10</v>
      </c>
      <c r="C412" s="35">
        <v>420</v>
      </c>
    </row>
    <row r="413" spans="1:3" hidden="1">
      <c r="A413" s="21" t="s">
        <v>365</v>
      </c>
      <c r="B413" s="34" t="s">
        <v>10</v>
      </c>
      <c r="C413" s="35">
        <v>420</v>
      </c>
    </row>
    <row r="414" spans="1:3" hidden="1">
      <c r="A414" s="21" t="s">
        <v>364</v>
      </c>
      <c r="B414" s="34" t="s">
        <v>10</v>
      </c>
      <c r="C414" s="35">
        <v>477.66</v>
      </c>
    </row>
    <row r="415" spans="1:3" hidden="1">
      <c r="A415" s="21" t="s">
        <v>576</v>
      </c>
      <c r="B415" s="34" t="s">
        <v>10</v>
      </c>
      <c r="C415" s="35">
        <v>120</v>
      </c>
    </row>
    <row r="416" spans="1:3" hidden="1">
      <c r="A416" s="21" t="s">
        <v>277</v>
      </c>
      <c r="B416" s="34" t="s">
        <v>26</v>
      </c>
      <c r="C416" s="35">
        <v>1</v>
      </c>
    </row>
    <row r="417" spans="1:3" hidden="1">
      <c r="A417" s="21" t="s">
        <v>471</v>
      </c>
      <c r="B417" s="34" t="s">
        <v>10</v>
      </c>
      <c r="C417" s="35">
        <v>10</v>
      </c>
    </row>
    <row r="418" spans="1:3" hidden="1">
      <c r="A418" s="21" t="s">
        <v>522</v>
      </c>
      <c r="B418" s="34" t="s">
        <v>10</v>
      </c>
      <c r="C418" s="35">
        <v>3</v>
      </c>
    </row>
    <row r="419" spans="1:3" hidden="1">
      <c r="A419" s="21" t="s">
        <v>275</v>
      </c>
      <c r="B419" s="34" t="s">
        <v>14</v>
      </c>
      <c r="C419" s="35">
        <v>4.9975025000000004</v>
      </c>
    </row>
    <row r="420" spans="1:3" hidden="1">
      <c r="A420" s="21" t="s">
        <v>118</v>
      </c>
      <c r="B420" s="34" t="s">
        <v>10</v>
      </c>
      <c r="C420" s="35">
        <v>7.8</v>
      </c>
    </row>
    <row r="421" spans="1:3" hidden="1">
      <c r="A421" s="21" t="s">
        <v>119</v>
      </c>
      <c r="B421" s="34" t="s">
        <v>10</v>
      </c>
      <c r="C421" s="35">
        <v>7.8</v>
      </c>
    </row>
    <row r="422" spans="1:3" hidden="1">
      <c r="A422" s="21" t="s">
        <v>120</v>
      </c>
      <c r="B422" s="34" t="s">
        <v>10</v>
      </c>
      <c r="C422" s="35">
        <v>7.8</v>
      </c>
    </row>
    <row r="423" spans="1:3" hidden="1">
      <c r="A423" s="21" t="s">
        <v>121</v>
      </c>
      <c r="B423" s="34" t="s">
        <v>10</v>
      </c>
      <c r="C423" s="35">
        <v>7.9</v>
      </c>
    </row>
    <row r="424" spans="1:3" hidden="1">
      <c r="A424" s="21" t="s">
        <v>122</v>
      </c>
      <c r="B424" s="34" t="s">
        <v>10</v>
      </c>
      <c r="C424" s="35">
        <v>9.18</v>
      </c>
    </row>
    <row r="425" spans="1:3" hidden="1">
      <c r="A425" s="21" t="s">
        <v>123</v>
      </c>
      <c r="B425" s="34" t="s">
        <v>10</v>
      </c>
      <c r="C425" s="35">
        <v>9</v>
      </c>
    </row>
    <row r="426" spans="1:3" hidden="1">
      <c r="A426" s="21" t="s">
        <v>124</v>
      </c>
      <c r="B426" s="34" t="s">
        <v>10</v>
      </c>
      <c r="C426" s="35">
        <v>9</v>
      </c>
    </row>
    <row r="427" spans="1:3" hidden="1">
      <c r="A427" s="21" t="s">
        <v>125</v>
      </c>
      <c r="B427" s="34" t="s">
        <v>10</v>
      </c>
      <c r="C427" s="35">
        <v>9</v>
      </c>
    </row>
    <row r="428" spans="1:3" hidden="1">
      <c r="A428" s="21" t="s">
        <v>126</v>
      </c>
      <c r="B428" s="34" t="s">
        <v>10</v>
      </c>
      <c r="C428" s="35">
        <v>9</v>
      </c>
    </row>
    <row r="429" spans="1:3" hidden="1">
      <c r="A429" s="21" t="s">
        <v>127</v>
      </c>
      <c r="B429" s="34" t="s">
        <v>10</v>
      </c>
      <c r="C429" s="35">
        <v>9</v>
      </c>
    </row>
    <row r="430" spans="1:3" hidden="1">
      <c r="A430" s="21" t="s">
        <v>883</v>
      </c>
      <c r="B430" s="34" t="s">
        <v>10</v>
      </c>
      <c r="C430" s="35">
        <v>320</v>
      </c>
    </row>
    <row r="431" spans="1:3" hidden="1">
      <c r="A431" s="21" t="s">
        <v>884</v>
      </c>
      <c r="B431" s="34" t="s">
        <v>10</v>
      </c>
      <c r="C431" s="35">
        <v>320</v>
      </c>
    </row>
    <row r="432" spans="1:3" hidden="1">
      <c r="A432" s="21" t="s">
        <v>885</v>
      </c>
      <c r="B432" s="34" t="s">
        <v>10</v>
      </c>
      <c r="C432" s="35">
        <v>320</v>
      </c>
    </row>
    <row r="433" spans="1:3" hidden="1">
      <c r="A433" s="21" t="s">
        <v>886</v>
      </c>
      <c r="B433" s="34" t="s">
        <v>10</v>
      </c>
      <c r="C433" s="35">
        <v>320</v>
      </c>
    </row>
    <row r="434" spans="1:3" hidden="1">
      <c r="A434" s="21" t="s">
        <v>887</v>
      </c>
      <c r="B434" s="34" t="s">
        <v>10</v>
      </c>
      <c r="C434" s="35">
        <v>320</v>
      </c>
    </row>
    <row r="435" spans="1:3" hidden="1">
      <c r="A435" s="21" t="s">
        <v>888</v>
      </c>
      <c r="B435" s="34" t="s">
        <v>10</v>
      </c>
      <c r="C435" s="35">
        <v>320</v>
      </c>
    </row>
    <row r="436" spans="1:3" hidden="1">
      <c r="A436" s="21" t="s">
        <v>889</v>
      </c>
      <c r="B436" s="34" t="s">
        <v>10</v>
      </c>
      <c r="C436" s="35">
        <v>320</v>
      </c>
    </row>
    <row r="437" spans="1:3" hidden="1">
      <c r="A437" s="21" t="s">
        <v>577</v>
      </c>
      <c r="B437" s="34" t="s">
        <v>10</v>
      </c>
      <c r="C437" s="35">
        <v>1839.6226415094338</v>
      </c>
    </row>
    <row r="438" spans="1:3" hidden="1">
      <c r="A438" s="21" t="s">
        <v>578</v>
      </c>
      <c r="B438" s="34" t="s">
        <v>10</v>
      </c>
      <c r="C438" s="35">
        <v>1839.6226415094338</v>
      </c>
    </row>
    <row r="439" spans="1:3" hidden="1">
      <c r="A439" s="21" t="s">
        <v>579</v>
      </c>
      <c r="B439" s="34" t="s">
        <v>10</v>
      </c>
      <c r="C439" s="35">
        <v>1839.6226415094338</v>
      </c>
    </row>
    <row r="440" spans="1:3" hidden="1">
      <c r="A440" s="21" t="s">
        <v>580</v>
      </c>
      <c r="B440" s="34" t="s">
        <v>10</v>
      </c>
      <c r="C440" s="35">
        <v>1839.6226415094338</v>
      </c>
    </row>
    <row r="441" spans="1:3" hidden="1">
      <c r="A441" s="21" t="s">
        <v>581</v>
      </c>
      <c r="B441" s="34" t="s">
        <v>10</v>
      </c>
      <c r="C441" s="35">
        <v>1839.6226415094338</v>
      </c>
    </row>
    <row r="442" spans="1:3" hidden="1">
      <c r="A442" s="21" t="s">
        <v>111</v>
      </c>
      <c r="B442" s="34" t="s">
        <v>10</v>
      </c>
      <c r="C442" s="35">
        <v>4.9000000000000004</v>
      </c>
    </row>
    <row r="443" spans="1:3" hidden="1">
      <c r="A443" s="21" t="s">
        <v>101</v>
      </c>
      <c r="B443" s="34" t="s">
        <v>10</v>
      </c>
      <c r="C443" s="35">
        <v>5.2189999999999994</v>
      </c>
    </row>
    <row r="444" spans="1:3" hidden="1">
      <c r="A444" s="21" t="s">
        <v>104</v>
      </c>
      <c r="B444" s="34" t="s">
        <v>10</v>
      </c>
      <c r="C444" s="35">
        <v>4.22</v>
      </c>
    </row>
    <row r="445" spans="1:3" hidden="1">
      <c r="A445" s="21" t="s">
        <v>105</v>
      </c>
      <c r="B445" s="34" t="s">
        <v>10</v>
      </c>
      <c r="C445" s="35">
        <v>4.22</v>
      </c>
    </row>
    <row r="446" spans="1:3" hidden="1">
      <c r="A446" s="21" t="s">
        <v>106</v>
      </c>
      <c r="B446" s="34" t="s">
        <v>10</v>
      </c>
      <c r="C446" s="35">
        <v>4.22</v>
      </c>
    </row>
    <row r="447" spans="1:3" hidden="1">
      <c r="A447" s="21" t="s">
        <v>107</v>
      </c>
      <c r="B447" s="34" t="s">
        <v>10</v>
      </c>
      <c r="C447" s="35">
        <v>4.5</v>
      </c>
    </row>
    <row r="448" spans="1:3" hidden="1">
      <c r="A448" s="21" t="s">
        <v>103</v>
      </c>
      <c r="B448" s="34" t="s">
        <v>10</v>
      </c>
      <c r="C448" s="35">
        <v>5.2189999999999994</v>
      </c>
    </row>
    <row r="449" spans="1:3" hidden="1">
      <c r="A449" s="21" t="s">
        <v>100</v>
      </c>
      <c r="B449" s="34" t="s">
        <v>10</v>
      </c>
      <c r="C449" s="35">
        <v>5.2189999999999994</v>
      </c>
    </row>
    <row r="450" spans="1:3" hidden="1">
      <c r="A450" s="21" t="s">
        <v>890</v>
      </c>
      <c r="B450" s="34" t="s">
        <v>10</v>
      </c>
      <c r="C450" s="35">
        <v>6.2190000000000003</v>
      </c>
    </row>
    <row r="451" spans="1:3" hidden="1">
      <c r="A451" s="21" t="s">
        <v>102</v>
      </c>
      <c r="B451" s="34" t="s">
        <v>10</v>
      </c>
      <c r="C451" s="35">
        <v>5.2189999999999994</v>
      </c>
    </row>
    <row r="452" spans="1:3" hidden="1">
      <c r="A452" s="21" t="s">
        <v>433</v>
      </c>
      <c r="B452" s="34" t="s">
        <v>10</v>
      </c>
      <c r="C452" s="35">
        <v>5.2189999999999994</v>
      </c>
    </row>
    <row r="453" spans="1:3" hidden="1">
      <c r="A453" s="21" t="s">
        <v>434</v>
      </c>
      <c r="B453" s="34" t="s">
        <v>10</v>
      </c>
      <c r="C453" s="35">
        <v>5.2189999999999994</v>
      </c>
    </row>
    <row r="454" spans="1:3" hidden="1">
      <c r="A454" s="21" t="s">
        <v>432</v>
      </c>
      <c r="B454" s="34" t="s">
        <v>10</v>
      </c>
      <c r="C454" s="35">
        <v>5.2189999999999994</v>
      </c>
    </row>
    <row r="455" spans="1:3" hidden="1">
      <c r="A455" s="21" t="s">
        <v>435</v>
      </c>
      <c r="B455" s="34" t="s">
        <v>10</v>
      </c>
      <c r="C455" s="35">
        <v>5.2189999999999994</v>
      </c>
    </row>
    <row r="456" spans="1:3" hidden="1">
      <c r="A456" s="21" t="s">
        <v>110</v>
      </c>
      <c r="B456" s="34" t="s">
        <v>10</v>
      </c>
      <c r="C456" s="35">
        <v>4.9000000000000004</v>
      </c>
    </row>
    <row r="457" spans="1:3" hidden="1">
      <c r="A457" s="21" t="s">
        <v>108</v>
      </c>
      <c r="B457" s="34" t="s">
        <v>10</v>
      </c>
      <c r="C457" s="35">
        <v>4.7</v>
      </c>
    </row>
    <row r="458" spans="1:3" hidden="1">
      <c r="A458" s="21" t="s">
        <v>112</v>
      </c>
      <c r="B458" s="34" t="s">
        <v>10</v>
      </c>
      <c r="C458" s="35">
        <v>4.22</v>
      </c>
    </row>
    <row r="459" spans="1:3" hidden="1">
      <c r="A459" s="21" t="s">
        <v>109</v>
      </c>
      <c r="B459" s="34" t="s">
        <v>10</v>
      </c>
      <c r="C459" s="35">
        <v>4.9000000000000004</v>
      </c>
    </row>
    <row r="460" spans="1:3" hidden="1">
      <c r="A460" s="21" t="s">
        <v>113</v>
      </c>
      <c r="B460" s="34" t="s">
        <v>10</v>
      </c>
      <c r="C460" s="35">
        <v>4.22</v>
      </c>
    </row>
    <row r="461" spans="1:3" hidden="1">
      <c r="A461" s="21" t="s">
        <v>114</v>
      </c>
      <c r="B461" s="34" t="s">
        <v>10</v>
      </c>
      <c r="C461" s="35">
        <v>4.9000000000000004</v>
      </c>
    </row>
    <row r="462" spans="1:3" hidden="1">
      <c r="A462" s="21" t="s">
        <v>115</v>
      </c>
      <c r="B462" s="34" t="s">
        <v>10</v>
      </c>
      <c r="C462" s="35">
        <v>4.9000000000000004</v>
      </c>
    </row>
    <row r="463" spans="1:3" hidden="1">
      <c r="A463" s="21" t="s">
        <v>116</v>
      </c>
      <c r="B463" s="34" t="s">
        <v>10</v>
      </c>
      <c r="C463" s="35">
        <v>4.9000000000000004</v>
      </c>
    </row>
    <row r="464" spans="1:3" hidden="1">
      <c r="A464" s="21" t="s">
        <v>117</v>
      </c>
      <c r="B464" s="34" t="s">
        <v>10</v>
      </c>
      <c r="C464" s="35">
        <v>4.9000000000000004</v>
      </c>
    </row>
    <row r="465" spans="1:3" hidden="1">
      <c r="A465" s="21" t="s">
        <v>523</v>
      </c>
      <c r="B465" s="34" t="s">
        <v>10</v>
      </c>
      <c r="C465" s="35">
        <v>8</v>
      </c>
    </row>
    <row r="466" spans="1:3" hidden="1">
      <c r="A466" s="21" t="s">
        <v>323</v>
      </c>
      <c r="B466" s="34" t="s">
        <v>14</v>
      </c>
      <c r="C466" s="35">
        <v>1.1475</v>
      </c>
    </row>
    <row r="467" spans="1:3" hidden="1">
      <c r="A467" s="21" t="s">
        <v>173</v>
      </c>
      <c r="B467" s="34" t="s">
        <v>14</v>
      </c>
      <c r="C467" s="35">
        <v>8.8699999999999992</v>
      </c>
    </row>
    <row r="468" spans="1:3" hidden="1">
      <c r="A468" s="21" t="s">
        <v>296</v>
      </c>
      <c r="B468" s="34" t="s">
        <v>10</v>
      </c>
      <c r="C468" s="35">
        <v>5</v>
      </c>
    </row>
    <row r="469" spans="1:3" hidden="1">
      <c r="A469" s="21" t="s">
        <v>891</v>
      </c>
      <c r="B469" s="34" t="s">
        <v>10</v>
      </c>
      <c r="C469" s="35">
        <v>4</v>
      </c>
    </row>
    <row r="470" spans="1:3" hidden="1">
      <c r="A470" s="21" t="s">
        <v>892</v>
      </c>
      <c r="B470" s="34" t="s">
        <v>10</v>
      </c>
      <c r="C470" s="35">
        <v>4</v>
      </c>
    </row>
    <row r="471" spans="1:3" hidden="1">
      <c r="A471" s="21" t="s">
        <v>893</v>
      </c>
      <c r="B471" s="34" t="s">
        <v>26</v>
      </c>
      <c r="C471" s="35">
        <v>3</v>
      </c>
    </row>
    <row r="472" spans="1:3" hidden="1">
      <c r="A472" s="21" t="s">
        <v>317</v>
      </c>
      <c r="B472" s="34" t="s">
        <v>26</v>
      </c>
      <c r="C472" s="35">
        <v>4</v>
      </c>
    </row>
    <row r="473" spans="1:3" hidden="1">
      <c r="A473" s="21" t="s">
        <v>485</v>
      </c>
      <c r="B473" s="34" t="s">
        <v>26</v>
      </c>
      <c r="C473" s="35">
        <v>12</v>
      </c>
    </row>
    <row r="474" spans="1:3" hidden="1">
      <c r="A474" s="21" t="s">
        <v>303</v>
      </c>
      <c r="B474" s="34" t="s">
        <v>304</v>
      </c>
      <c r="C474" s="35">
        <v>5</v>
      </c>
    </row>
    <row r="475" spans="1:3" hidden="1">
      <c r="A475" s="21" t="s">
        <v>300</v>
      </c>
      <c r="B475" s="34" t="s">
        <v>10</v>
      </c>
      <c r="C475" s="35">
        <v>3.5</v>
      </c>
    </row>
    <row r="476" spans="1:3" hidden="1">
      <c r="A476" s="21" t="s">
        <v>301</v>
      </c>
      <c r="B476" s="34" t="s">
        <v>10</v>
      </c>
      <c r="C476" s="35">
        <v>4</v>
      </c>
    </row>
    <row r="477" spans="1:3" hidden="1">
      <c r="A477" s="21" t="s">
        <v>240</v>
      </c>
      <c r="B477" s="34" t="s">
        <v>10</v>
      </c>
      <c r="C477" s="35">
        <v>4.8</v>
      </c>
    </row>
    <row r="478" spans="1:3" hidden="1">
      <c r="A478" s="21" t="s">
        <v>238</v>
      </c>
      <c r="B478" s="34" t="s">
        <v>10</v>
      </c>
      <c r="C478" s="35">
        <v>4.8</v>
      </c>
    </row>
    <row r="479" spans="1:3" hidden="1">
      <c r="A479" s="21" t="s">
        <v>239</v>
      </c>
      <c r="B479" s="34" t="s">
        <v>10</v>
      </c>
      <c r="C479" s="35">
        <v>4.8</v>
      </c>
    </row>
    <row r="480" spans="1:3" hidden="1">
      <c r="A480" s="21" t="s">
        <v>894</v>
      </c>
      <c r="B480" s="34" t="s">
        <v>10</v>
      </c>
      <c r="C480" s="35">
        <v>5</v>
      </c>
    </row>
    <row r="481" spans="1:3" hidden="1">
      <c r="A481" s="21" t="s">
        <v>237</v>
      </c>
      <c r="B481" s="34" t="s">
        <v>10</v>
      </c>
      <c r="C481" s="35">
        <v>64339.622641509428</v>
      </c>
    </row>
    <row r="482" spans="1:3">
      <c r="A482" s="21" t="s">
        <v>235</v>
      </c>
      <c r="B482" s="34" t="s">
        <v>14</v>
      </c>
      <c r="C482" s="35">
        <v>54000</v>
      </c>
    </row>
    <row r="483" spans="1:3">
      <c r="A483" s="21" t="s">
        <v>236</v>
      </c>
      <c r="B483" s="34" t="s">
        <v>14</v>
      </c>
      <c r="C483" s="35">
        <v>46000</v>
      </c>
    </row>
    <row r="484" spans="1:3">
      <c r="A484" s="21" t="s">
        <v>895</v>
      </c>
      <c r="B484" s="34" t="s">
        <v>14</v>
      </c>
      <c r="C484" s="35">
        <v>39000</v>
      </c>
    </row>
    <row r="485" spans="1:3">
      <c r="A485" s="21" t="s">
        <v>582</v>
      </c>
      <c r="B485" s="34" t="s">
        <v>14</v>
      </c>
      <c r="C485" s="35">
        <v>16566.096226415095</v>
      </c>
    </row>
    <row r="486" spans="1:3">
      <c r="A486" s="21" t="s">
        <v>583</v>
      </c>
      <c r="B486" s="34" t="s">
        <v>14</v>
      </c>
      <c r="C486" s="35">
        <v>25107.194339622642</v>
      </c>
    </row>
    <row r="487" spans="1:3">
      <c r="A487" s="21" t="s">
        <v>584</v>
      </c>
      <c r="B487" s="34" t="s">
        <v>14</v>
      </c>
      <c r="C487" s="35">
        <v>41609.909433962261</v>
      </c>
    </row>
    <row r="488" spans="1:3">
      <c r="A488" s="21" t="s">
        <v>585</v>
      </c>
      <c r="B488" s="34" t="s">
        <v>14</v>
      </c>
      <c r="C488" s="35">
        <v>48000</v>
      </c>
    </row>
    <row r="489" spans="1:3">
      <c r="A489" s="21" t="s">
        <v>586</v>
      </c>
      <c r="B489" s="34" t="s">
        <v>14</v>
      </c>
      <c r="C489" s="35">
        <v>22169.811320754718</v>
      </c>
    </row>
    <row r="490" spans="1:3">
      <c r="A490" s="21" t="s">
        <v>587</v>
      </c>
      <c r="B490" s="34" t="s">
        <v>14</v>
      </c>
      <c r="C490" s="35">
        <v>18773.584905660377</v>
      </c>
    </row>
    <row r="491" spans="1:3">
      <c r="A491" s="21" t="s">
        <v>263</v>
      </c>
      <c r="B491" s="34" t="s">
        <v>14</v>
      </c>
      <c r="C491" s="35">
        <v>8.204288571428572</v>
      </c>
    </row>
    <row r="492" spans="1:3">
      <c r="A492" s="21" t="s">
        <v>264</v>
      </c>
      <c r="B492" s="34" t="s">
        <v>14</v>
      </c>
      <c r="C492" s="35">
        <v>7.3542885714285724</v>
      </c>
    </row>
    <row r="493" spans="1:3">
      <c r="A493" s="21" t="s">
        <v>234</v>
      </c>
      <c r="B493" s="34" t="s">
        <v>14</v>
      </c>
      <c r="C493" s="35">
        <v>58000</v>
      </c>
    </row>
    <row r="494" spans="1:3">
      <c r="A494" s="21" t="s">
        <v>233</v>
      </c>
      <c r="B494" s="34" t="s">
        <v>14</v>
      </c>
      <c r="C494" s="35">
        <v>54000</v>
      </c>
    </row>
    <row r="495" spans="1:3">
      <c r="A495" s="21" t="s">
        <v>588</v>
      </c>
      <c r="B495" s="34" t="s">
        <v>14</v>
      </c>
      <c r="C495" s="35">
        <v>39000</v>
      </c>
    </row>
    <row r="496" spans="1:3">
      <c r="A496" s="21" t="s">
        <v>589</v>
      </c>
      <c r="B496" s="34" t="s">
        <v>14</v>
      </c>
      <c r="C496" s="35">
        <v>46570</v>
      </c>
    </row>
    <row r="497" spans="1:3">
      <c r="A497" s="21" t="s">
        <v>590</v>
      </c>
      <c r="B497" s="34" t="s">
        <v>14</v>
      </c>
      <c r="C497" s="35">
        <v>56611</v>
      </c>
    </row>
    <row r="498" spans="1:3">
      <c r="A498" s="21" t="s">
        <v>591</v>
      </c>
      <c r="B498" s="34" t="s">
        <v>14</v>
      </c>
      <c r="C498" s="35">
        <v>38000</v>
      </c>
    </row>
    <row r="499" spans="1:3">
      <c r="A499" s="79" t="s">
        <v>1019</v>
      </c>
      <c r="B499" s="34" t="s">
        <v>14</v>
      </c>
      <c r="C499" s="35">
        <v>56611</v>
      </c>
    </row>
    <row r="500" spans="1:3" hidden="1">
      <c r="A500" s="21"/>
      <c r="B500" s="34"/>
      <c r="C500" s="35"/>
    </row>
    <row r="501" spans="1:3">
      <c r="A501" s="85" t="s">
        <v>1076</v>
      </c>
      <c r="B501" s="34" t="s">
        <v>14</v>
      </c>
      <c r="C501" s="35">
        <v>42000</v>
      </c>
    </row>
    <row r="502" spans="1:3" hidden="1">
      <c r="A502" s="21" t="s">
        <v>896</v>
      </c>
      <c r="B502" s="34" t="s">
        <v>384</v>
      </c>
      <c r="C502" s="35">
        <v>1200</v>
      </c>
    </row>
    <row r="503" spans="1:3" hidden="1">
      <c r="A503" s="21" t="s">
        <v>249</v>
      </c>
      <c r="B503" s="34" t="s">
        <v>10</v>
      </c>
      <c r="C503" s="35">
        <v>20</v>
      </c>
    </row>
    <row r="504" spans="1:3" hidden="1">
      <c r="A504" s="21" t="s">
        <v>251</v>
      </c>
      <c r="B504" s="34" t="s">
        <v>14</v>
      </c>
      <c r="C504" s="35">
        <v>125</v>
      </c>
    </row>
    <row r="505" spans="1:3" hidden="1">
      <c r="A505" s="21" t="s">
        <v>250</v>
      </c>
      <c r="B505" s="34" t="s">
        <v>14</v>
      </c>
      <c r="C505" s="35">
        <v>22</v>
      </c>
    </row>
    <row r="506" spans="1:3" hidden="1">
      <c r="A506" s="21" t="s">
        <v>252</v>
      </c>
      <c r="B506" s="34" t="s">
        <v>14</v>
      </c>
      <c r="C506" s="35">
        <v>135</v>
      </c>
    </row>
    <row r="507" spans="1:3" hidden="1">
      <c r="A507" s="21" t="s">
        <v>272</v>
      </c>
      <c r="B507" s="34" t="s">
        <v>10</v>
      </c>
      <c r="C507" s="35">
        <v>189.49875125</v>
      </c>
    </row>
    <row r="508" spans="1:3" hidden="1">
      <c r="A508" s="21" t="s">
        <v>273</v>
      </c>
      <c r="B508" s="34" t="s">
        <v>10</v>
      </c>
      <c r="C508" s="35">
        <v>238.4</v>
      </c>
    </row>
    <row r="509" spans="1:3" hidden="1">
      <c r="A509" s="21" t="s">
        <v>271</v>
      </c>
      <c r="B509" s="34" t="s">
        <v>10</v>
      </c>
      <c r="C509" s="35">
        <v>147.99500499999999</v>
      </c>
    </row>
    <row r="510" spans="1:3" hidden="1">
      <c r="A510" s="21" t="s">
        <v>267</v>
      </c>
      <c r="B510" s="34" t="s">
        <v>10</v>
      </c>
      <c r="C510" s="35">
        <v>250</v>
      </c>
    </row>
    <row r="511" spans="1:3" hidden="1">
      <c r="A511" s="21" t="s">
        <v>266</v>
      </c>
      <c r="B511" s="34" t="s">
        <v>10</v>
      </c>
      <c r="C511" s="35">
        <v>200</v>
      </c>
    </row>
    <row r="512" spans="1:3" hidden="1">
      <c r="A512" s="21" t="s">
        <v>269</v>
      </c>
      <c r="B512" s="34" t="s">
        <v>14</v>
      </c>
      <c r="C512" s="35">
        <v>350</v>
      </c>
    </row>
    <row r="513" spans="1:3" hidden="1">
      <c r="A513" s="21" t="s">
        <v>268</v>
      </c>
      <c r="B513" s="34" t="s">
        <v>14</v>
      </c>
      <c r="C513" s="35">
        <v>300</v>
      </c>
    </row>
    <row r="514" spans="1:3" hidden="1">
      <c r="A514" s="21" t="s">
        <v>265</v>
      </c>
      <c r="B514" s="34" t="s">
        <v>10</v>
      </c>
      <c r="C514" s="35">
        <v>60</v>
      </c>
    </row>
    <row r="515" spans="1:3" hidden="1">
      <c r="A515" s="21" t="s">
        <v>897</v>
      </c>
      <c r="B515" s="34" t="s">
        <v>14</v>
      </c>
      <c r="C515" s="35">
        <v>15</v>
      </c>
    </row>
    <row r="516" spans="1:3" hidden="1">
      <c r="A516" s="21" t="s">
        <v>592</v>
      </c>
      <c r="B516" s="34" t="s">
        <v>593</v>
      </c>
      <c r="C516" s="35">
        <v>60</v>
      </c>
    </row>
    <row r="517" spans="1:3" hidden="1">
      <c r="A517" s="21" t="s">
        <v>898</v>
      </c>
      <c r="B517" s="34" t="s">
        <v>131</v>
      </c>
      <c r="C517" s="35">
        <v>15</v>
      </c>
    </row>
    <row r="518" spans="1:3" hidden="1">
      <c r="A518" s="21" t="s">
        <v>899</v>
      </c>
      <c r="B518" s="34" t="s">
        <v>10</v>
      </c>
      <c r="C518" s="35">
        <v>15</v>
      </c>
    </row>
    <row r="519" spans="1:3" hidden="1">
      <c r="A519" s="21" t="s">
        <v>479</v>
      </c>
      <c r="B519" s="34" t="s">
        <v>10</v>
      </c>
      <c r="C519" s="35">
        <v>12</v>
      </c>
    </row>
    <row r="520" spans="1:3" hidden="1">
      <c r="A520" s="21" t="s">
        <v>480</v>
      </c>
      <c r="B520" s="34" t="s">
        <v>10</v>
      </c>
      <c r="C520" s="35">
        <v>12</v>
      </c>
    </row>
    <row r="521" spans="1:3" hidden="1">
      <c r="A521" s="21" t="s">
        <v>594</v>
      </c>
      <c r="B521" s="34" t="s">
        <v>10</v>
      </c>
      <c r="C521" s="35">
        <v>231.1320754716981</v>
      </c>
    </row>
    <row r="522" spans="1:3" hidden="1">
      <c r="A522" s="21" t="s">
        <v>383</v>
      </c>
      <c r="B522" s="34" t="s">
        <v>384</v>
      </c>
      <c r="C522" s="35">
        <v>10</v>
      </c>
    </row>
    <row r="523" spans="1:3" hidden="1">
      <c r="A523" s="21" t="s">
        <v>900</v>
      </c>
      <c r="B523" s="34" t="s">
        <v>384</v>
      </c>
      <c r="C523" s="35">
        <v>12</v>
      </c>
    </row>
    <row r="524" spans="1:3" hidden="1">
      <c r="A524" s="21" t="s">
        <v>385</v>
      </c>
      <c r="B524" s="34" t="s">
        <v>384</v>
      </c>
      <c r="C524" s="35">
        <v>10</v>
      </c>
    </row>
    <row r="525" spans="1:3" hidden="1">
      <c r="A525" s="21" t="s">
        <v>901</v>
      </c>
      <c r="B525" s="34" t="s">
        <v>70</v>
      </c>
      <c r="C525" s="35">
        <v>60</v>
      </c>
    </row>
    <row r="526" spans="1:3" hidden="1">
      <c r="A526" s="21" t="s">
        <v>595</v>
      </c>
      <c r="B526" s="34" t="s">
        <v>10</v>
      </c>
      <c r="C526" s="35">
        <v>25</v>
      </c>
    </row>
    <row r="527" spans="1:3" hidden="1">
      <c r="A527" s="21" t="s">
        <v>902</v>
      </c>
      <c r="B527" s="34" t="s">
        <v>10</v>
      </c>
      <c r="C527" s="35">
        <v>28</v>
      </c>
    </row>
    <row r="528" spans="1:3" hidden="1">
      <c r="A528" s="21" t="s">
        <v>596</v>
      </c>
      <c r="B528" s="34" t="s">
        <v>10</v>
      </c>
      <c r="C528" s="35">
        <v>10</v>
      </c>
    </row>
    <row r="529" spans="1:3" hidden="1">
      <c r="A529" s="21" t="s">
        <v>597</v>
      </c>
      <c r="B529" s="34" t="s">
        <v>10</v>
      </c>
      <c r="C529" s="35">
        <v>26</v>
      </c>
    </row>
    <row r="530" spans="1:3" hidden="1">
      <c r="A530" s="21" t="s">
        <v>524</v>
      </c>
      <c r="B530" s="34" t="s">
        <v>10</v>
      </c>
      <c r="C530" s="35">
        <v>15</v>
      </c>
    </row>
    <row r="531" spans="1:3" hidden="1">
      <c r="A531" s="21" t="s">
        <v>55</v>
      </c>
      <c r="B531" s="34" t="s">
        <v>618</v>
      </c>
      <c r="C531" s="35">
        <v>0</v>
      </c>
    </row>
    <row r="532" spans="1:3" hidden="1">
      <c r="A532" s="21" t="s">
        <v>302</v>
      </c>
      <c r="B532" s="34" t="s">
        <v>10</v>
      </c>
      <c r="C532" s="35">
        <v>6</v>
      </c>
    </row>
    <row r="533" spans="1:3" hidden="1">
      <c r="A533" s="21" t="s">
        <v>319</v>
      </c>
      <c r="B533" s="34" t="s">
        <v>14</v>
      </c>
      <c r="C533" s="35">
        <v>5.5249999999999995</v>
      </c>
    </row>
    <row r="534" spans="1:3" hidden="1">
      <c r="A534" s="21" t="s">
        <v>318</v>
      </c>
      <c r="B534" s="34" t="s">
        <v>10</v>
      </c>
      <c r="C534" s="35">
        <v>4</v>
      </c>
    </row>
    <row r="535" spans="1:3" hidden="1">
      <c r="A535" s="21" t="s">
        <v>484</v>
      </c>
      <c r="B535" s="34" t="s">
        <v>10</v>
      </c>
      <c r="C535" s="35">
        <v>12</v>
      </c>
    </row>
    <row r="536" spans="1:3" hidden="1">
      <c r="A536" s="21" t="s">
        <v>903</v>
      </c>
      <c r="B536" s="34" t="s">
        <v>10</v>
      </c>
      <c r="C536" s="35">
        <v>13</v>
      </c>
    </row>
    <row r="537" spans="1:3" hidden="1">
      <c r="A537" s="21" t="s">
        <v>75</v>
      </c>
      <c r="B537" s="34" t="s">
        <v>14</v>
      </c>
      <c r="C537" s="35">
        <v>360</v>
      </c>
    </row>
    <row r="538" spans="1:3" hidden="1">
      <c r="A538" s="81" t="s">
        <v>1020</v>
      </c>
      <c r="B538" s="34" t="s">
        <v>14</v>
      </c>
      <c r="C538" s="35">
        <v>150</v>
      </c>
    </row>
    <row r="539" spans="1:3" hidden="1">
      <c r="A539" s="88" t="s">
        <v>1021</v>
      </c>
      <c r="B539" s="34" t="s">
        <v>14</v>
      </c>
      <c r="C539" s="35">
        <v>250</v>
      </c>
    </row>
    <row r="540" spans="1:3" hidden="1">
      <c r="A540" s="79" t="s">
        <v>75</v>
      </c>
      <c r="B540" s="34" t="s">
        <v>14</v>
      </c>
      <c r="C540" s="35">
        <v>360</v>
      </c>
    </row>
    <row r="541" spans="1:3" hidden="1">
      <c r="A541" s="21" t="s">
        <v>76</v>
      </c>
      <c r="B541" s="34" t="s">
        <v>14</v>
      </c>
      <c r="C541" s="35">
        <v>150</v>
      </c>
    </row>
    <row r="542" spans="1:3" hidden="1">
      <c r="A542" s="21" t="s">
        <v>321</v>
      </c>
      <c r="B542" s="34" t="s">
        <v>14</v>
      </c>
      <c r="C542" s="35">
        <v>11.9</v>
      </c>
    </row>
    <row r="543" spans="1:3" hidden="1">
      <c r="A543" s="21" t="s">
        <v>320</v>
      </c>
      <c r="B543" s="34" t="s">
        <v>14</v>
      </c>
      <c r="C543" s="35">
        <v>16.022500000000001</v>
      </c>
    </row>
    <row r="544" spans="1:3" hidden="1">
      <c r="A544" s="21" t="s">
        <v>334</v>
      </c>
      <c r="B544" s="34" t="s">
        <v>14</v>
      </c>
      <c r="C544" s="35">
        <v>10.19</v>
      </c>
    </row>
    <row r="545" spans="1:3" hidden="1">
      <c r="A545" s="21" t="s">
        <v>325</v>
      </c>
      <c r="B545" s="34" t="s">
        <v>14</v>
      </c>
      <c r="C545" s="35">
        <v>3.9099999999999997</v>
      </c>
    </row>
    <row r="546" spans="1:3" hidden="1">
      <c r="A546" s="21" t="s">
        <v>311</v>
      </c>
      <c r="B546" s="34" t="s">
        <v>10</v>
      </c>
      <c r="C546" s="35">
        <v>3</v>
      </c>
    </row>
    <row r="547" spans="1:3" hidden="1">
      <c r="A547" s="21" t="s">
        <v>306</v>
      </c>
      <c r="B547" s="34" t="s">
        <v>10</v>
      </c>
      <c r="C547" s="35">
        <v>3</v>
      </c>
    </row>
    <row r="548" spans="1:3" hidden="1">
      <c r="A548" s="21" t="s">
        <v>307</v>
      </c>
      <c r="B548" s="34" t="s">
        <v>10</v>
      </c>
      <c r="C548" s="35">
        <v>3</v>
      </c>
    </row>
    <row r="549" spans="1:3" hidden="1">
      <c r="A549" s="21" t="s">
        <v>305</v>
      </c>
      <c r="B549" s="34" t="s">
        <v>10</v>
      </c>
      <c r="C549" s="35">
        <v>3</v>
      </c>
    </row>
    <row r="550" spans="1:3" hidden="1">
      <c r="A550" s="21" t="s">
        <v>309</v>
      </c>
      <c r="B550" s="34" t="s">
        <v>10</v>
      </c>
      <c r="C550" s="35">
        <v>3</v>
      </c>
    </row>
    <row r="551" spans="1:3" hidden="1">
      <c r="A551" s="21" t="s">
        <v>308</v>
      </c>
      <c r="B551" s="34" t="s">
        <v>10</v>
      </c>
      <c r="C551" s="35">
        <v>3</v>
      </c>
    </row>
    <row r="552" spans="1:3" hidden="1">
      <c r="A552" s="21" t="s">
        <v>386</v>
      </c>
      <c r="B552" s="34" t="s">
        <v>384</v>
      </c>
      <c r="C552" s="35">
        <v>4</v>
      </c>
    </row>
    <row r="553" spans="1:3" hidden="1">
      <c r="A553" s="21" t="s">
        <v>535</v>
      </c>
      <c r="B553" s="34" t="s">
        <v>10</v>
      </c>
      <c r="C553" s="35">
        <v>10</v>
      </c>
    </row>
    <row r="554" spans="1:3" hidden="1">
      <c r="A554" s="21" t="s">
        <v>352</v>
      </c>
      <c r="B554" s="34" t="s">
        <v>10</v>
      </c>
      <c r="C554" s="35">
        <v>3.5</v>
      </c>
    </row>
    <row r="555" spans="1:3" hidden="1">
      <c r="A555" s="21" t="s">
        <v>353</v>
      </c>
      <c r="B555" s="34" t="s">
        <v>10</v>
      </c>
      <c r="C555" s="35">
        <v>3.5</v>
      </c>
    </row>
    <row r="556" spans="1:3" hidden="1">
      <c r="A556" s="21" t="s">
        <v>354</v>
      </c>
      <c r="B556" s="34" t="s">
        <v>10</v>
      </c>
      <c r="C556" s="35">
        <v>3.5</v>
      </c>
    </row>
    <row r="557" spans="1:3" hidden="1">
      <c r="A557" s="21" t="s">
        <v>904</v>
      </c>
      <c r="B557" s="34" t="s">
        <v>10</v>
      </c>
      <c r="C557" s="35">
        <v>3.5</v>
      </c>
    </row>
    <row r="558" spans="1:3" hidden="1">
      <c r="A558" s="21" t="s">
        <v>355</v>
      </c>
      <c r="B558" s="34" t="s">
        <v>10</v>
      </c>
      <c r="C558" s="35">
        <v>3.5</v>
      </c>
    </row>
    <row r="559" spans="1:3" hidden="1">
      <c r="A559" s="21" t="s">
        <v>905</v>
      </c>
      <c r="B559" s="34" t="s">
        <v>10</v>
      </c>
      <c r="C559" s="35">
        <v>3</v>
      </c>
    </row>
    <row r="560" spans="1:3" hidden="1">
      <c r="A560" s="21" t="s">
        <v>906</v>
      </c>
      <c r="B560" s="34" t="s">
        <v>10</v>
      </c>
      <c r="C560" s="35">
        <v>3.5</v>
      </c>
    </row>
    <row r="561" spans="1:3" hidden="1">
      <c r="A561" s="21" t="s">
        <v>290</v>
      </c>
      <c r="B561" s="34" t="s">
        <v>10</v>
      </c>
      <c r="C561" s="35">
        <v>3</v>
      </c>
    </row>
    <row r="562" spans="1:3" hidden="1">
      <c r="A562" s="21" t="s">
        <v>298</v>
      </c>
      <c r="B562" s="34" t="s">
        <v>10</v>
      </c>
      <c r="C562" s="35">
        <v>3.5</v>
      </c>
    </row>
    <row r="563" spans="1:3" hidden="1">
      <c r="A563" s="21" t="s">
        <v>291</v>
      </c>
      <c r="B563" s="34" t="s">
        <v>10</v>
      </c>
      <c r="C563" s="35">
        <v>3</v>
      </c>
    </row>
    <row r="564" spans="1:3" hidden="1">
      <c r="A564" s="21" t="s">
        <v>341</v>
      </c>
      <c r="B564" s="34" t="s">
        <v>10</v>
      </c>
      <c r="C564" s="35">
        <v>3</v>
      </c>
    </row>
    <row r="565" spans="1:3" hidden="1">
      <c r="A565" s="21" t="s">
        <v>313</v>
      </c>
      <c r="B565" s="34" t="s">
        <v>10</v>
      </c>
      <c r="C565" s="35">
        <v>4</v>
      </c>
    </row>
    <row r="566" spans="1:3" hidden="1">
      <c r="A566" s="21" t="s">
        <v>299</v>
      </c>
      <c r="B566" s="34" t="s">
        <v>10</v>
      </c>
      <c r="C566" s="35">
        <v>3.5</v>
      </c>
    </row>
    <row r="567" spans="1:3" hidden="1">
      <c r="A567" s="21" t="s">
        <v>324</v>
      </c>
      <c r="B567" s="34" t="s">
        <v>14</v>
      </c>
      <c r="C567" s="35">
        <v>2.4649999999999999</v>
      </c>
    </row>
    <row r="568" spans="1:3" hidden="1">
      <c r="A568" s="21" t="s">
        <v>326</v>
      </c>
      <c r="B568" s="34" t="s">
        <v>14</v>
      </c>
      <c r="C568" s="35">
        <v>3.3574999999999999</v>
      </c>
    </row>
    <row r="569" spans="1:3" hidden="1">
      <c r="A569" s="21" t="s">
        <v>328</v>
      </c>
      <c r="B569" s="34" t="s">
        <v>14</v>
      </c>
      <c r="C569" s="35">
        <v>2.38</v>
      </c>
    </row>
    <row r="570" spans="1:3" hidden="1">
      <c r="A570" s="21" t="s">
        <v>327</v>
      </c>
      <c r="B570" s="34" t="s">
        <v>14</v>
      </c>
      <c r="C570" s="35">
        <v>2.5499999999999998</v>
      </c>
    </row>
    <row r="571" spans="1:3" hidden="1">
      <c r="A571" s="21" t="s">
        <v>310</v>
      </c>
      <c r="B571" s="34" t="s">
        <v>10</v>
      </c>
      <c r="C571" s="35">
        <v>3</v>
      </c>
    </row>
    <row r="572" spans="1:3" hidden="1">
      <c r="A572" s="21" t="s">
        <v>342</v>
      </c>
      <c r="B572" s="34" t="s">
        <v>10</v>
      </c>
      <c r="C572" s="35">
        <v>3</v>
      </c>
    </row>
    <row r="573" spans="1:3" hidden="1">
      <c r="A573" s="21" t="s">
        <v>292</v>
      </c>
      <c r="B573" s="34" t="s">
        <v>10</v>
      </c>
      <c r="C573" s="35">
        <v>3</v>
      </c>
    </row>
    <row r="574" spans="1:3" hidden="1">
      <c r="A574" s="21" t="s">
        <v>293</v>
      </c>
      <c r="B574" s="34" t="s">
        <v>10</v>
      </c>
      <c r="C574" s="35">
        <v>3</v>
      </c>
    </row>
    <row r="575" spans="1:3" hidden="1">
      <c r="A575" s="21" t="s">
        <v>907</v>
      </c>
      <c r="B575" s="34" t="s">
        <v>10</v>
      </c>
      <c r="C575" s="35">
        <v>3</v>
      </c>
    </row>
    <row r="576" spans="1:3" hidden="1">
      <c r="A576" s="21" t="s">
        <v>908</v>
      </c>
      <c r="B576" s="34" t="s">
        <v>10</v>
      </c>
      <c r="C576" s="35">
        <v>3.5</v>
      </c>
    </row>
    <row r="577" spans="1:3" hidden="1">
      <c r="A577" s="21" t="s">
        <v>909</v>
      </c>
      <c r="B577" s="34" t="s">
        <v>10</v>
      </c>
      <c r="C577" s="35">
        <v>3</v>
      </c>
    </row>
    <row r="578" spans="1:3" hidden="1">
      <c r="A578" s="21" t="s">
        <v>910</v>
      </c>
      <c r="B578" s="34" t="s">
        <v>10</v>
      </c>
      <c r="C578" s="35">
        <v>0.5</v>
      </c>
    </row>
    <row r="579" spans="1:3" hidden="1">
      <c r="A579" s="21" t="s">
        <v>911</v>
      </c>
      <c r="B579" s="34" t="s">
        <v>10</v>
      </c>
      <c r="C579" s="35">
        <v>1.5</v>
      </c>
    </row>
    <row r="580" spans="1:3" hidden="1">
      <c r="A580" s="21" t="s">
        <v>912</v>
      </c>
      <c r="B580" s="34" t="s">
        <v>10</v>
      </c>
      <c r="C580" s="35">
        <v>2.5</v>
      </c>
    </row>
    <row r="581" spans="1:3" hidden="1">
      <c r="A581" s="21" t="s">
        <v>913</v>
      </c>
      <c r="B581" s="34" t="s">
        <v>10</v>
      </c>
      <c r="C581" s="35">
        <v>3.5</v>
      </c>
    </row>
    <row r="582" spans="1:3" hidden="1">
      <c r="A582" s="21" t="s">
        <v>914</v>
      </c>
      <c r="B582" s="34" t="s">
        <v>10</v>
      </c>
      <c r="C582" s="35">
        <v>3.5</v>
      </c>
    </row>
    <row r="583" spans="1:3" hidden="1">
      <c r="A583" s="21" t="s">
        <v>294</v>
      </c>
      <c r="B583" s="34" t="s">
        <v>10</v>
      </c>
      <c r="C583" s="35">
        <v>3</v>
      </c>
    </row>
    <row r="584" spans="1:3" hidden="1">
      <c r="A584" s="21" t="s">
        <v>295</v>
      </c>
      <c r="B584" s="34" t="s">
        <v>10</v>
      </c>
      <c r="C584" s="35">
        <v>3</v>
      </c>
    </row>
    <row r="585" spans="1:3" hidden="1">
      <c r="A585" s="21" t="s">
        <v>915</v>
      </c>
      <c r="B585" s="34" t="s">
        <v>10</v>
      </c>
      <c r="C585" s="35">
        <v>3.5</v>
      </c>
    </row>
    <row r="586" spans="1:3" hidden="1">
      <c r="A586" s="21" t="s">
        <v>916</v>
      </c>
      <c r="B586" s="34" t="s">
        <v>10</v>
      </c>
      <c r="C586" s="35">
        <v>3.91</v>
      </c>
    </row>
    <row r="587" spans="1:3" hidden="1">
      <c r="A587" s="21" t="s">
        <v>349</v>
      </c>
      <c r="B587" s="34" t="s">
        <v>10</v>
      </c>
      <c r="C587" s="35">
        <v>3</v>
      </c>
    </row>
    <row r="588" spans="1:3" hidden="1">
      <c r="A588" s="21" t="s">
        <v>598</v>
      </c>
      <c r="B588" s="34" t="s">
        <v>563</v>
      </c>
      <c r="C588" s="35">
        <v>35</v>
      </c>
    </row>
    <row r="589" spans="1:3" hidden="1">
      <c r="A589" s="21" t="s">
        <v>525</v>
      </c>
      <c r="B589" s="34" t="s">
        <v>526</v>
      </c>
      <c r="C589" s="35">
        <v>50</v>
      </c>
    </row>
    <row r="590" spans="1:3" hidden="1">
      <c r="A590" s="21" t="s">
        <v>527</v>
      </c>
      <c r="B590" s="34" t="s">
        <v>526</v>
      </c>
      <c r="C590" s="35">
        <v>45</v>
      </c>
    </row>
    <row r="591" spans="1:3" hidden="1">
      <c r="A591" s="21" t="s">
        <v>599</v>
      </c>
      <c r="B591" s="34" t="s">
        <v>526</v>
      </c>
      <c r="C591" s="35">
        <v>120</v>
      </c>
    </row>
    <row r="592" spans="1:3" hidden="1">
      <c r="A592" s="21" t="s">
        <v>917</v>
      </c>
      <c r="B592" s="34" t="s">
        <v>526</v>
      </c>
      <c r="C592" s="35">
        <v>50</v>
      </c>
    </row>
    <row r="593" spans="1:3" hidden="1">
      <c r="A593" s="21" t="s">
        <v>918</v>
      </c>
      <c r="B593" s="34" t="s">
        <v>526</v>
      </c>
      <c r="C593" s="35">
        <v>60</v>
      </c>
    </row>
    <row r="594" spans="1:3" hidden="1">
      <c r="A594" s="21" t="s">
        <v>329</v>
      </c>
      <c r="B594" s="34" t="s">
        <v>14</v>
      </c>
      <c r="C594" s="35">
        <v>3.4</v>
      </c>
    </row>
    <row r="595" spans="1:3" hidden="1">
      <c r="A595" s="21" t="s">
        <v>350</v>
      </c>
      <c r="B595" s="34" t="s">
        <v>14</v>
      </c>
      <c r="C595" s="35">
        <v>12</v>
      </c>
    </row>
    <row r="596" spans="1:3" hidden="1">
      <c r="A596" s="21" t="s">
        <v>351</v>
      </c>
      <c r="B596" s="34" t="s">
        <v>14</v>
      </c>
      <c r="C596" s="35">
        <v>12</v>
      </c>
    </row>
    <row r="597" spans="1:3" hidden="1">
      <c r="A597" s="21" t="s">
        <v>477</v>
      </c>
      <c r="B597" s="34" t="s">
        <v>10</v>
      </c>
      <c r="C597" s="35">
        <v>14</v>
      </c>
    </row>
    <row r="598" spans="1:3" hidden="1">
      <c r="A598" s="21" t="s">
        <v>85</v>
      </c>
      <c r="B598" s="34" t="s">
        <v>10</v>
      </c>
      <c r="C598" s="35">
        <v>17</v>
      </c>
    </row>
    <row r="599" spans="1:3" hidden="1">
      <c r="A599" s="21" t="s">
        <v>83</v>
      </c>
      <c r="B599" s="34" t="s">
        <v>10</v>
      </c>
      <c r="C599" s="35">
        <v>12.75</v>
      </c>
    </row>
    <row r="600" spans="1:3" hidden="1">
      <c r="A600" s="21" t="s">
        <v>86</v>
      </c>
      <c r="B600" s="34" t="s">
        <v>10</v>
      </c>
      <c r="C600" s="35">
        <v>14.45</v>
      </c>
    </row>
    <row r="601" spans="1:3" hidden="1">
      <c r="A601" s="21" t="s">
        <v>128</v>
      </c>
      <c r="B601" s="34" t="s">
        <v>10</v>
      </c>
      <c r="C601" s="35">
        <v>3679.2452830188677</v>
      </c>
    </row>
    <row r="602" spans="1:3" hidden="1">
      <c r="A602" s="21" t="s">
        <v>129</v>
      </c>
      <c r="B602" s="34" t="s">
        <v>10</v>
      </c>
      <c r="C602" s="35">
        <v>1367.9245283018868</v>
      </c>
    </row>
    <row r="603" spans="1:3" hidden="1">
      <c r="A603" s="21" t="s">
        <v>528</v>
      </c>
      <c r="B603" s="34" t="s">
        <v>10</v>
      </c>
      <c r="C603" s="35">
        <v>8</v>
      </c>
    </row>
    <row r="604" spans="1:3" hidden="1">
      <c r="A604" s="21" t="s">
        <v>919</v>
      </c>
      <c r="B604" s="34" t="s">
        <v>14</v>
      </c>
      <c r="C604" s="35">
        <v>299</v>
      </c>
    </row>
    <row r="605" spans="1:3" hidden="1">
      <c r="A605" s="21" t="s">
        <v>370</v>
      </c>
      <c r="B605" s="34" t="s">
        <v>14</v>
      </c>
      <c r="C605" s="35">
        <v>290</v>
      </c>
    </row>
    <row r="606" spans="1:3" hidden="1">
      <c r="A606" s="21" t="s">
        <v>371</v>
      </c>
      <c r="B606" s="34" t="s">
        <v>14</v>
      </c>
      <c r="C606" s="35">
        <v>299</v>
      </c>
    </row>
    <row r="607" spans="1:3" hidden="1">
      <c r="A607" s="21" t="s">
        <v>373</v>
      </c>
      <c r="B607" s="34" t="s">
        <v>14</v>
      </c>
      <c r="C607" s="35">
        <v>299</v>
      </c>
    </row>
    <row r="608" spans="1:3" hidden="1">
      <c r="A608" s="21" t="s">
        <v>368</v>
      </c>
      <c r="B608" s="34" t="s">
        <v>10</v>
      </c>
      <c r="C608" s="35">
        <v>290</v>
      </c>
    </row>
    <row r="609" spans="1:3" hidden="1">
      <c r="A609" s="21" t="s">
        <v>375</v>
      </c>
      <c r="B609" s="34" t="s">
        <v>14</v>
      </c>
      <c r="C609" s="35">
        <v>310</v>
      </c>
    </row>
    <row r="610" spans="1:3" hidden="1">
      <c r="A610" s="21" t="s">
        <v>374</v>
      </c>
      <c r="B610" s="34" t="s">
        <v>14</v>
      </c>
      <c r="C610" s="35">
        <v>299</v>
      </c>
    </row>
    <row r="611" spans="1:3" hidden="1">
      <c r="A611" s="21" t="s">
        <v>377</v>
      </c>
      <c r="B611" s="34" t="s">
        <v>14</v>
      </c>
      <c r="C611" s="35">
        <v>330</v>
      </c>
    </row>
    <row r="612" spans="1:3" hidden="1">
      <c r="A612" s="21" t="s">
        <v>376</v>
      </c>
      <c r="B612" s="34" t="s">
        <v>14</v>
      </c>
      <c r="C612" s="35">
        <v>310</v>
      </c>
    </row>
    <row r="613" spans="1:3" hidden="1">
      <c r="A613" s="21" t="s">
        <v>378</v>
      </c>
      <c r="B613" s="34" t="s">
        <v>14</v>
      </c>
      <c r="C613" s="35">
        <v>290</v>
      </c>
    </row>
    <row r="614" spans="1:3" hidden="1">
      <c r="A614" s="21" t="s">
        <v>379</v>
      </c>
      <c r="B614" s="34" t="s">
        <v>14</v>
      </c>
      <c r="C614" s="35">
        <v>290</v>
      </c>
    </row>
    <row r="615" spans="1:3" hidden="1">
      <c r="A615" s="21" t="s">
        <v>380</v>
      </c>
      <c r="B615" s="34" t="s">
        <v>14</v>
      </c>
      <c r="C615" s="35">
        <v>280</v>
      </c>
    </row>
    <row r="616" spans="1:3" hidden="1">
      <c r="A616" s="21" t="s">
        <v>369</v>
      </c>
      <c r="B616" s="34" t="s">
        <v>14</v>
      </c>
      <c r="C616" s="35">
        <v>290</v>
      </c>
    </row>
    <row r="617" spans="1:3" hidden="1">
      <c r="A617" s="21" t="s">
        <v>372</v>
      </c>
      <c r="B617" s="34" t="s">
        <v>14</v>
      </c>
      <c r="C617" s="35">
        <v>290</v>
      </c>
    </row>
    <row r="618" spans="1:3" hidden="1">
      <c r="A618" s="21" t="s">
        <v>387</v>
      </c>
      <c r="B618" s="34" t="s">
        <v>10</v>
      </c>
      <c r="C618" s="35">
        <v>290</v>
      </c>
    </row>
    <row r="619" spans="1:3" hidden="1">
      <c r="A619" s="21" t="s">
        <v>361</v>
      </c>
      <c r="B619" s="34" t="s">
        <v>10</v>
      </c>
      <c r="C619" s="35">
        <v>260</v>
      </c>
    </row>
    <row r="620" spans="1:3" hidden="1">
      <c r="A620" s="21" t="s">
        <v>388</v>
      </c>
      <c r="B620" s="34" t="s">
        <v>10</v>
      </c>
      <c r="C620" s="35">
        <v>330</v>
      </c>
    </row>
    <row r="621" spans="1:3" hidden="1">
      <c r="A621" s="21" t="s">
        <v>314</v>
      </c>
      <c r="B621" s="34" t="s">
        <v>10</v>
      </c>
      <c r="C621" s="35">
        <v>3</v>
      </c>
    </row>
    <row r="622" spans="1:3" hidden="1">
      <c r="A622" s="21" t="s">
        <v>315</v>
      </c>
      <c r="B622" s="34" t="s">
        <v>10</v>
      </c>
      <c r="C622" s="35">
        <v>4</v>
      </c>
    </row>
    <row r="623" spans="1:3" hidden="1">
      <c r="A623" s="21" t="s">
        <v>920</v>
      </c>
      <c r="B623" s="34" t="s">
        <v>14</v>
      </c>
      <c r="C623" s="35">
        <v>120</v>
      </c>
    </row>
    <row r="624" spans="1:3" hidden="1">
      <c r="A624" s="21" t="s">
        <v>600</v>
      </c>
      <c r="B624" s="34" t="s">
        <v>10</v>
      </c>
      <c r="C624" s="35">
        <v>300</v>
      </c>
    </row>
    <row r="625" spans="1:3" hidden="1">
      <c r="A625" s="21" t="s">
        <v>601</v>
      </c>
      <c r="B625" s="34" t="s">
        <v>10</v>
      </c>
      <c r="C625" s="35">
        <v>301.88679245283015</v>
      </c>
    </row>
    <row r="626" spans="1:3" hidden="1">
      <c r="A626" s="36" t="s">
        <v>921</v>
      </c>
      <c r="B626" s="34" t="s">
        <v>10</v>
      </c>
      <c r="C626" s="35">
        <v>301.88679245283015</v>
      </c>
    </row>
    <row r="627" spans="1:3" hidden="1">
      <c r="A627" s="21" t="s">
        <v>922</v>
      </c>
      <c r="B627" s="34" t="s">
        <v>10</v>
      </c>
      <c r="C627" s="35">
        <v>17</v>
      </c>
    </row>
    <row r="628" spans="1:3" hidden="1">
      <c r="A628" s="21" t="s">
        <v>923</v>
      </c>
      <c r="B628" s="34" t="s">
        <v>14</v>
      </c>
      <c r="C628" s="35">
        <v>12500</v>
      </c>
    </row>
    <row r="629" spans="1:3" hidden="1">
      <c r="A629" s="79" t="s">
        <v>1073</v>
      </c>
      <c r="B629" s="34" t="s">
        <v>14</v>
      </c>
      <c r="C629" s="35">
        <v>12908</v>
      </c>
    </row>
    <row r="630" spans="1:3" hidden="1">
      <c r="A630" s="21" t="s">
        <v>602</v>
      </c>
      <c r="B630" s="34" t="s">
        <v>14</v>
      </c>
      <c r="C630" s="35">
        <v>16463.25</v>
      </c>
    </row>
    <row r="631" spans="1:3" hidden="1">
      <c r="A631" s="21" t="s">
        <v>231</v>
      </c>
      <c r="B631" s="34" t="s">
        <v>14</v>
      </c>
      <c r="C631" s="35">
        <v>10908</v>
      </c>
    </row>
    <row r="632" spans="1:3" hidden="1">
      <c r="A632" s="21" t="s">
        <v>603</v>
      </c>
      <c r="B632" s="34" t="s">
        <v>14</v>
      </c>
      <c r="C632" s="35">
        <v>21500</v>
      </c>
    </row>
    <row r="633" spans="1:3" hidden="1">
      <c r="A633" s="21" t="s">
        <v>924</v>
      </c>
      <c r="B633" s="34" t="s">
        <v>14</v>
      </c>
      <c r="C633" s="35">
        <v>7000</v>
      </c>
    </row>
    <row r="634" spans="1:3" hidden="1">
      <c r="A634" s="21" t="s">
        <v>604</v>
      </c>
      <c r="B634" s="34" t="s">
        <v>384</v>
      </c>
      <c r="C634" s="35">
        <v>376.99200000000008</v>
      </c>
    </row>
    <row r="635" spans="1:3" hidden="1">
      <c r="A635" s="21" t="s">
        <v>229</v>
      </c>
      <c r="B635" s="34" t="s">
        <v>14</v>
      </c>
      <c r="C635" s="35">
        <v>36026.639999999999</v>
      </c>
    </row>
    <row r="636" spans="1:3" hidden="1">
      <c r="A636" s="21" t="s">
        <v>227</v>
      </c>
      <c r="B636" s="34" t="s">
        <v>14</v>
      </c>
      <c r="C636" s="35">
        <v>11224.18</v>
      </c>
    </row>
    <row r="637" spans="1:3" hidden="1">
      <c r="A637" s="21" t="s">
        <v>226</v>
      </c>
      <c r="B637" s="34" t="s">
        <v>14</v>
      </c>
      <c r="C637" s="35">
        <v>15961.23</v>
      </c>
    </row>
    <row r="638" spans="1:3" hidden="1">
      <c r="A638" s="21" t="s">
        <v>225</v>
      </c>
      <c r="B638" s="34" t="s">
        <v>14</v>
      </c>
      <c r="C638" s="35">
        <v>16695.63</v>
      </c>
    </row>
    <row r="639" spans="1:3" hidden="1">
      <c r="A639" s="21" t="s">
        <v>228</v>
      </c>
      <c r="B639" s="34" t="s">
        <v>14</v>
      </c>
      <c r="C639" s="35">
        <v>25906.63</v>
      </c>
    </row>
    <row r="640" spans="1:3" hidden="1">
      <c r="A640" s="21" t="s">
        <v>254</v>
      </c>
      <c r="B640" s="34" t="s">
        <v>10</v>
      </c>
      <c r="C640" s="35">
        <v>11.96</v>
      </c>
    </row>
    <row r="641" spans="1:3" hidden="1">
      <c r="A641" s="21" t="s">
        <v>925</v>
      </c>
      <c r="B641" s="34" t="s">
        <v>14</v>
      </c>
      <c r="C641" s="35">
        <v>6000</v>
      </c>
    </row>
    <row r="642" spans="1:3" hidden="1">
      <c r="A642" s="21" t="s">
        <v>926</v>
      </c>
      <c r="B642" s="34" t="s">
        <v>131</v>
      </c>
      <c r="C642" s="35">
        <v>1</v>
      </c>
    </row>
    <row r="643" spans="1:3" hidden="1">
      <c r="A643" s="21" t="s">
        <v>90</v>
      </c>
      <c r="B643" s="34" t="s">
        <v>14</v>
      </c>
      <c r="C643" s="35">
        <v>31818.181818181816</v>
      </c>
    </row>
    <row r="644" spans="1:3" hidden="1">
      <c r="A644" s="21" t="s">
        <v>91</v>
      </c>
      <c r="B644" s="34" t="s">
        <v>14</v>
      </c>
      <c r="C644" s="35">
        <v>45454.545454545449</v>
      </c>
    </row>
    <row r="645" spans="1:3" hidden="1">
      <c r="A645" s="21" t="s">
        <v>927</v>
      </c>
      <c r="B645" s="34" t="s">
        <v>14</v>
      </c>
      <c r="C645" s="35">
        <v>1345</v>
      </c>
    </row>
    <row r="646" spans="1:3" hidden="1">
      <c r="A646" s="21" t="s">
        <v>92</v>
      </c>
      <c r="B646" s="34" t="s">
        <v>14</v>
      </c>
      <c r="C646" s="35">
        <v>45454.545454545449</v>
      </c>
    </row>
    <row r="647" spans="1:3" hidden="1">
      <c r="A647" s="21" t="s">
        <v>93</v>
      </c>
      <c r="B647" s="34" t="s">
        <v>14</v>
      </c>
      <c r="C647" s="35">
        <v>22169.811320754718</v>
      </c>
    </row>
    <row r="648" spans="1:3" hidden="1">
      <c r="A648" s="21" t="s">
        <v>94</v>
      </c>
      <c r="B648" s="34" t="s">
        <v>14</v>
      </c>
      <c r="C648" s="35">
        <v>18773.584905660377</v>
      </c>
    </row>
    <row r="649" spans="1:3" hidden="1">
      <c r="A649" s="21" t="s">
        <v>27</v>
      </c>
      <c r="B649" s="34" t="s">
        <v>14</v>
      </c>
      <c r="C649" s="35">
        <v>1600</v>
      </c>
    </row>
    <row r="650" spans="1:3" hidden="1">
      <c r="A650" s="21" t="s">
        <v>87</v>
      </c>
      <c r="B650" s="34" t="s">
        <v>14</v>
      </c>
      <c r="C650" s="35">
        <v>1800</v>
      </c>
    </row>
    <row r="651" spans="1:3" hidden="1">
      <c r="A651" s="21" t="s">
        <v>88</v>
      </c>
      <c r="B651" s="34" t="s">
        <v>14</v>
      </c>
      <c r="C651" s="35">
        <v>1800</v>
      </c>
    </row>
    <row r="652" spans="1:3" hidden="1">
      <c r="A652" s="21" t="s">
        <v>95</v>
      </c>
      <c r="B652" s="34" t="s">
        <v>14</v>
      </c>
      <c r="C652" s="35">
        <v>24528.301886792451</v>
      </c>
    </row>
    <row r="653" spans="1:3" hidden="1">
      <c r="A653" s="21" t="s">
        <v>89</v>
      </c>
      <c r="B653" s="34" t="s">
        <v>14</v>
      </c>
      <c r="C653" s="35">
        <v>1800</v>
      </c>
    </row>
    <row r="654" spans="1:3" hidden="1">
      <c r="A654" s="21" t="s">
        <v>96</v>
      </c>
      <c r="B654" s="34" t="s">
        <v>14</v>
      </c>
      <c r="C654" s="35">
        <v>24528.301886792451</v>
      </c>
    </row>
    <row r="655" spans="1:3" hidden="1">
      <c r="A655" s="21" t="s">
        <v>605</v>
      </c>
      <c r="B655" s="34" t="s">
        <v>10</v>
      </c>
      <c r="C655" s="35">
        <v>750</v>
      </c>
    </row>
    <row r="656" spans="1:3" hidden="1">
      <c r="A656" s="21" t="s">
        <v>606</v>
      </c>
      <c r="B656" s="34" t="s">
        <v>607</v>
      </c>
      <c r="C656" s="35">
        <v>120</v>
      </c>
    </row>
    <row r="657" spans="1:3" hidden="1">
      <c r="A657" s="21" t="s">
        <v>97</v>
      </c>
      <c r="B657" s="34" t="s">
        <v>10</v>
      </c>
      <c r="C657" s="35">
        <v>2594.3396226415093</v>
      </c>
    </row>
    <row r="658" spans="1:3" hidden="1">
      <c r="A658" s="21" t="s">
        <v>98</v>
      </c>
      <c r="B658" s="34" t="s">
        <v>10</v>
      </c>
      <c r="C658" s="35">
        <v>2735.8490566037735</v>
      </c>
    </row>
    <row r="659" spans="1:3" hidden="1">
      <c r="A659" s="21" t="s">
        <v>608</v>
      </c>
      <c r="B659" s="34" t="s">
        <v>14</v>
      </c>
      <c r="C659" s="35">
        <v>8000</v>
      </c>
    </row>
    <row r="660" spans="1:3" hidden="1">
      <c r="A660" s="21" t="s">
        <v>609</v>
      </c>
      <c r="B660" s="34" t="s">
        <v>10</v>
      </c>
      <c r="C660" s="35">
        <v>2500</v>
      </c>
    </row>
    <row r="661" spans="1:3" hidden="1">
      <c r="A661" s="21" t="s">
        <v>529</v>
      </c>
      <c r="B661" s="34" t="s">
        <v>10</v>
      </c>
      <c r="C661" s="35">
        <v>2</v>
      </c>
    </row>
    <row r="662" spans="1:3" hidden="1">
      <c r="A662" s="21" t="s">
        <v>928</v>
      </c>
      <c r="B662" s="34" t="s">
        <v>10</v>
      </c>
      <c r="C662" s="35">
        <v>3</v>
      </c>
    </row>
    <row r="663" spans="1:3" hidden="1">
      <c r="A663" s="21" t="s">
        <v>929</v>
      </c>
      <c r="B663" s="34" t="s">
        <v>140</v>
      </c>
      <c r="C663" s="35">
        <v>900</v>
      </c>
    </row>
    <row r="664" spans="1:3" hidden="1">
      <c r="A664" s="21" t="s">
        <v>930</v>
      </c>
      <c r="B664" s="34" t="s">
        <v>14</v>
      </c>
      <c r="C664" s="35">
        <v>5.43</v>
      </c>
    </row>
    <row r="665" spans="1:3" hidden="1">
      <c r="A665" s="21" t="s">
        <v>931</v>
      </c>
      <c r="B665" s="34" t="s">
        <v>10</v>
      </c>
      <c r="C665" s="35">
        <v>24</v>
      </c>
    </row>
    <row r="666" spans="1:3" hidden="1">
      <c r="A666" s="21" t="s">
        <v>932</v>
      </c>
      <c r="B666" s="34" t="s">
        <v>10</v>
      </c>
      <c r="C666" s="35">
        <v>53.9</v>
      </c>
    </row>
    <row r="667" spans="1:3" hidden="1">
      <c r="A667" s="21" t="s">
        <v>933</v>
      </c>
      <c r="B667" s="34" t="s">
        <v>14</v>
      </c>
      <c r="C667" s="35">
        <v>36.700000000000003</v>
      </c>
    </row>
    <row r="668" spans="1:3" hidden="1">
      <c r="A668" s="21" t="s">
        <v>934</v>
      </c>
      <c r="B668" s="34" t="s">
        <v>10</v>
      </c>
      <c r="C668" s="35">
        <v>300</v>
      </c>
    </row>
    <row r="669" spans="1:3" hidden="1">
      <c r="A669" s="21" t="s">
        <v>935</v>
      </c>
      <c r="B669" s="34" t="s">
        <v>14</v>
      </c>
      <c r="C669" s="35">
        <v>5.43</v>
      </c>
    </row>
    <row r="670" spans="1:3" hidden="1">
      <c r="A670" s="21" t="s">
        <v>936</v>
      </c>
      <c r="B670" s="34" t="s">
        <v>14</v>
      </c>
      <c r="C670" s="35">
        <v>36.700000000000003</v>
      </c>
    </row>
    <row r="671" spans="1:3" hidden="1">
      <c r="A671" s="21" t="s">
        <v>937</v>
      </c>
      <c r="B671" s="34" t="s">
        <v>14</v>
      </c>
      <c r="C671" s="35">
        <v>3000</v>
      </c>
    </row>
    <row r="672" spans="1:3" hidden="1">
      <c r="A672" s="21" t="s">
        <v>938</v>
      </c>
      <c r="B672" s="34" t="s">
        <v>10</v>
      </c>
      <c r="C672" s="35">
        <v>1000</v>
      </c>
    </row>
    <row r="673" spans="1:3" hidden="1">
      <c r="A673" s="21" t="s">
        <v>939</v>
      </c>
      <c r="B673" s="34" t="s">
        <v>10</v>
      </c>
      <c r="C673" s="35">
        <v>1200</v>
      </c>
    </row>
    <row r="674" spans="1:3" hidden="1">
      <c r="A674" s="21" t="s">
        <v>415</v>
      </c>
      <c r="B674" s="34" t="s">
        <v>10</v>
      </c>
      <c r="C674" s="35">
        <v>3400</v>
      </c>
    </row>
    <row r="675" spans="1:3" hidden="1">
      <c r="A675" s="21" t="s">
        <v>419</v>
      </c>
      <c r="B675" s="34" t="s">
        <v>10</v>
      </c>
      <c r="C675" s="35">
        <v>1400</v>
      </c>
    </row>
    <row r="676" spans="1:3" hidden="1">
      <c r="A676" s="21" t="s">
        <v>420</v>
      </c>
      <c r="B676" s="34" t="s">
        <v>10</v>
      </c>
      <c r="C676" s="35">
        <v>7200</v>
      </c>
    </row>
    <row r="677" spans="1:3" hidden="1">
      <c r="A677" s="21" t="s">
        <v>398</v>
      </c>
      <c r="B677" s="34" t="s">
        <v>10</v>
      </c>
      <c r="C677" s="35">
        <v>1813.71</v>
      </c>
    </row>
    <row r="678" spans="1:3" hidden="1">
      <c r="A678" s="21" t="s">
        <v>401</v>
      </c>
      <c r="B678" s="34" t="s">
        <v>10</v>
      </c>
      <c r="C678" s="35">
        <v>2100</v>
      </c>
    </row>
    <row r="679" spans="1:3" hidden="1">
      <c r="A679" s="21" t="s">
        <v>402</v>
      </c>
      <c r="B679" s="34" t="s">
        <v>10</v>
      </c>
      <c r="C679" s="35">
        <v>2400</v>
      </c>
    </row>
    <row r="680" spans="1:3" hidden="1">
      <c r="A680" s="21" t="s">
        <v>426</v>
      </c>
      <c r="B680" s="34" t="s">
        <v>10</v>
      </c>
      <c r="C680" s="35">
        <v>2800</v>
      </c>
    </row>
    <row r="681" spans="1:3" hidden="1">
      <c r="A681" s="21" t="s">
        <v>416</v>
      </c>
      <c r="B681" s="34" t="s">
        <v>10</v>
      </c>
      <c r="C681" s="35">
        <v>17000</v>
      </c>
    </row>
    <row r="682" spans="1:3" hidden="1">
      <c r="A682" s="21" t="s">
        <v>417</v>
      </c>
      <c r="B682" s="34" t="s">
        <v>10</v>
      </c>
      <c r="C682" s="35">
        <v>19000</v>
      </c>
    </row>
    <row r="683" spans="1:3" hidden="1">
      <c r="A683" s="21" t="s">
        <v>427</v>
      </c>
      <c r="B683" s="34" t="s">
        <v>10</v>
      </c>
      <c r="C683" s="35">
        <v>1950</v>
      </c>
    </row>
    <row r="684" spans="1:3" hidden="1">
      <c r="A684" s="21" t="s">
        <v>428</v>
      </c>
      <c r="B684" s="34" t="s">
        <v>10</v>
      </c>
      <c r="C684" s="35">
        <v>2100</v>
      </c>
    </row>
    <row r="685" spans="1:3" hidden="1">
      <c r="A685" s="21" t="s">
        <v>429</v>
      </c>
      <c r="B685" s="34" t="s">
        <v>10</v>
      </c>
      <c r="C685" s="35">
        <v>3100</v>
      </c>
    </row>
    <row r="686" spans="1:3" hidden="1">
      <c r="A686" s="21" t="s">
        <v>430</v>
      </c>
      <c r="B686" s="34" t="s">
        <v>10</v>
      </c>
      <c r="C686" s="35">
        <v>2800</v>
      </c>
    </row>
    <row r="687" spans="1:3" hidden="1">
      <c r="A687" s="21" t="s">
        <v>391</v>
      </c>
      <c r="B687" s="34" t="s">
        <v>10</v>
      </c>
      <c r="C687" s="35">
        <v>3100</v>
      </c>
    </row>
    <row r="688" spans="1:3" hidden="1">
      <c r="A688" s="21" t="s">
        <v>389</v>
      </c>
      <c r="B688" s="34" t="s">
        <v>10</v>
      </c>
      <c r="C688" s="35">
        <v>4200</v>
      </c>
    </row>
    <row r="689" spans="1:3" hidden="1">
      <c r="A689" s="21" t="s">
        <v>404</v>
      </c>
      <c r="B689" s="34" t="s">
        <v>10</v>
      </c>
      <c r="C689" s="35">
        <v>21000</v>
      </c>
    </row>
    <row r="690" spans="1:3" hidden="1">
      <c r="A690" s="21" t="s">
        <v>410</v>
      </c>
      <c r="B690" s="34" t="s">
        <v>10</v>
      </c>
      <c r="C690" s="35">
        <v>14000</v>
      </c>
    </row>
    <row r="691" spans="1:3" hidden="1">
      <c r="A691" s="21" t="s">
        <v>405</v>
      </c>
      <c r="B691" s="34" t="s">
        <v>10</v>
      </c>
      <c r="C691" s="35">
        <v>16000</v>
      </c>
    </row>
    <row r="692" spans="1:3" hidden="1">
      <c r="A692" s="21" t="s">
        <v>411</v>
      </c>
      <c r="B692" s="34" t="s">
        <v>10</v>
      </c>
      <c r="C692" s="35">
        <v>21000</v>
      </c>
    </row>
    <row r="693" spans="1:3" hidden="1">
      <c r="A693" s="21" t="s">
        <v>406</v>
      </c>
      <c r="B693" s="34" t="s">
        <v>10</v>
      </c>
      <c r="C693" s="35">
        <v>18000</v>
      </c>
    </row>
    <row r="694" spans="1:3" hidden="1">
      <c r="A694" s="21" t="s">
        <v>412</v>
      </c>
      <c r="B694" s="34" t="s">
        <v>10</v>
      </c>
      <c r="C694" s="35">
        <v>22000</v>
      </c>
    </row>
    <row r="695" spans="1:3" hidden="1">
      <c r="A695" s="21" t="s">
        <v>407</v>
      </c>
      <c r="B695" s="34" t="s">
        <v>10</v>
      </c>
      <c r="C695" s="35">
        <v>22000</v>
      </c>
    </row>
    <row r="696" spans="1:3" hidden="1">
      <c r="A696" s="21" t="s">
        <v>413</v>
      </c>
      <c r="B696" s="34" t="s">
        <v>10</v>
      </c>
      <c r="C696" s="35">
        <v>23000</v>
      </c>
    </row>
    <row r="697" spans="1:3" hidden="1">
      <c r="A697" s="21" t="s">
        <v>408</v>
      </c>
      <c r="B697" s="34" t="s">
        <v>10</v>
      </c>
      <c r="C697" s="35">
        <v>23000</v>
      </c>
    </row>
    <row r="698" spans="1:3" hidden="1">
      <c r="A698" s="21" t="s">
        <v>414</v>
      </c>
      <c r="B698" s="34" t="s">
        <v>10</v>
      </c>
      <c r="C698" s="35">
        <v>25200</v>
      </c>
    </row>
    <row r="699" spans="1:3" hidden="1">
      <c r="A699" s="21" t="s">
        <v>409</v>
      </c>
      <c r="B699" s="34" t="s">
        <v>10</v>
      </c>
      <c r="C699" s="35">
        <v>2800</v>
      </c>
    </row>
    <row r="700" spans="1:3" hidden="1">
      <c r="A700" s="21" t="s">
        <v>490</v>
      </c>
      <c r="B700" s="34" t="s">
        <v>10</v>
      </c>
      <c r="C700" s="35">
        <v>9800</v>
      </c>
    </row>
    <row r="701" spans="1:3" hidden="1">
      <c r="A701" s="21" t="s">
        <v>486</v>
      </c>
      <c r="B701" s="34" t="s">
        <v>10</v>
      </c>
      <c r="C701" s="35">
        <v>1813.71</v>
      </c>
    </row>
    <row r="702" spans="1:3" hidden="1">
      <c r="A702" s="21" t="s">
        <v>487</v>
      </c>
      <c r="B702" s="34" t="s">
        <v>10</v>
      </c>
      <c r="C702" s="35">
        <v>1813.71</v>
      </c>
    </row>
    <row r="703" spans="1:3" hidden="1">
      <c r="A703" s="21" t="s">
        <v>489</v>
      </c>
      <c r="B703" s="34" t="s">
        <v>10</v>
      </c>
      <c r="C703" s="35">
        <v>2800</v>
      </c>
    </row>
    <row r="704" spans="1:3" hidden="1">
      <c r="A704" s="21" t="s">
        <v>488</v>
      </c>
      <c r="B704" s="34" t="s">
        <v>10</v>
      </c>
      <c r="C704" s="35">
        <v>2100</v>
      </c>
    </row>
    <row r="705" spans="1:3" hidden="1">
      <c r="A705" s="21" t="s">
        <v>418</v>
      </c>
      <c r="B705" s="34" t="s">
        <v>10</v>
      </c>
      <c r="C705" s="35">
        <v>2800</v>
      </c>
    </row>
    <row r="706" spans="1:3" hidden="1">
      <c r="A706" s="21" t="s">
        <v>940</v>
      </c>
      <c r="B706" s="34" t="s">
        <v>10</v>
      </c>
      <c r="C706" s="35">
        <v>9800</v>
      </c>
    </row>
    <row r="707" spans="1:3" hidden="1">
      <c r="A707" s="21" t="s">
        <v>941</v>
      </c>
      <c r="B707" s="34" t="s">
        <v>10</v>
      </c>
      <c r="C707" s="35">
        <v>16000</v>
      </c>
    </row>
    <row r="708" spans="1:3" hidden="1">
      <c r="A708" s="21" t="s">
        <v>942</v>
      </c>
      <c r="B708" s="34" t="s">
        <v>10</v>
      </c>
      <c r="C708" s="35">
        <v>1813.71</v>
      </c>
    </row>
    <row r="709" spans="1:3" hidden="1">
      <c r="A709" s="21" t="s">
        <v>943</v>
      </c>
      <c r="B709" s="34" t="s">
        <v>10</v>
      </c>
      <c r="C709" s="35">
        <v>2100</v>
      </c>
    </row>
    <row r="710" spans="1:3" hidden="1">
      <c r="A710" s="21" t="s">
        <v>944</v>
      </c>
      <c r="B710" s="34" t="s">
        <v>10</v>
      </c>
      <c r="C710" s="35">
        <v>4600</v>
      </c>
    </row>
    <row r="711" spans="1:3" hidden="1">
      <c r="A711" s="21" t="s">
        <v>945</v>
      </c>
      <c r="B711" s="34" t="s">
        <v>10</v>
      </c>
      <c r="C711" s="35">
        <v>2800</v>
      </c>
    </row>
    <row r="712" spans="1:3" hidden="1">
      <c r="A712" s="21" t="s">
        <v>610</v>
      </c>
      <c r="B712" s="34" t="s">
        <v>14</v>
      </c>
      <c r="C712" s="35">
        <v>1200</v>
      </c>
    </row>
    <row r="713" spans="1:3" hidden="1">
      <c r="A713" s="21" t="s">
        <v>946</v>
      </c>
      <c r="B713" s="34" t="s">
        <v>10</v>
      </c>
      <c r="C713" s="35">
        <v>35</v>
      </c>
    </row>
    <row r="714" spans="1:3" hidden="1">
      <c r="A714" s="21" t="s">
        <v>947</v>
      </c>
      <c r="B714" s="34" t="s">
        <v>10</v>
      </c>
      <c r="C714" s="35">
        <v>231</v>
      </c>
    </row>
    <row r="715" spans="1:3" hidden="1">
      <c r="A715" s="21" t="s">
        <v>948</v>
      </c>
      <c r="B715" s="34" t="s">
        <v>10</v>
      </c>
      <c r="C715" s="35">
        <v>8</v>
      </c>
    </row>
    <row r="716" spans="1:3" hidden="1">
      <c r="A716" s="21" t="s">
        <v>482</v>
      </c>
      <c r="B716" s="34" t="s">
        <v>10</v>
      </c>
      <c r="C716" s="35">
        <v>58.47</v>
      </c>
    </row>
    <row r="717" spans="1:3" hidden="1">
      <c r="A717" s="21" t="s">
        <v>481</v>
      </c>
      <c r="B717" s="34" t="s">
        <v>10</v>
      </c>
      <c r="C717" s="35">
        <v>58.47</v>
      </c>
    </row>
    <row r="718" spans="1:3" hidden="1">
      <c r="A718" s="21" t="s">
        <v>949</v>
      </c>
      <c r="B718" s="34" t="s">
        <v>10</v>
      </c>
      <c r="C718" s="35">
        <v>13</v>
      </c>
    </row>
    <row r="719" spans="1:3" hidden="1">
      <c r="A719" s="21" t="s">
        <v>950</v>
      </c>
      <c r="B719" s="34" t="s">
        <v>10</v>
      </c>
      <c r="C719" s="35">
        <v>14</v>
      </c>
    </row>
    <row r="720" spans="1:3" hidden="1">
      <c r="A720" s="21" t="s">
        <v>951</v>
      </c>
      <c r="B720" s="34" t="s">
        <v>10</v>
      </c>
      <c r="C720" s="35">
        <v>8</v>
      </c>
    </row>
    <row r="721" spans="1:3" hidden="1">
      <c r="A721" s="21" t="s">
        <v>952</v>
      </c>
      <c r="B721" s="34" t="s">
        <v>384</v>
      </c>
      <c r="C721" s="35">
        <v>60</v>
      </c>
    </row>
    <row r="722" spans="1:3" hidden="1">
      <c r="A722" s="21" t="s">
        <v>953</v>
      </c>
      <c r="B722" s="34" t="s">
        <v>14</v>
      </c>
      <c r="C722" s="35">
        <v>12</v>
      </c>
    </row>
    <row r="723" spans="1:3">
      <c r="A723" s="21" t="s">
        <v>954</v>
      </c>
      <c r="B723" s="34" t="s">
        <v>14</v>
      </c>
      <c r="C723" s="35">
        <v>39000</v>
      </c>
    </row>
    <row r="724" spans="1:3" hidden="1">
      <c r="A724" s="21" t="s">
        <v>955</v>
      </c>
      <c r="B724" s="34" t="s">
        <v>14</v>
      </c>
      <c r="C724" s="35">
        <v>54000</v>
      </c>
    </row>
    <row r="725" spans="1:3" hidden="1">
      <c r="A725" s="21" t="s">
        <v>956</v>
      </c>
      <c r="B725" s="34" t="s">
        <v>10</v>
      </c>
      <c r="C725" s="35">
        <v>160.37735849056602</v>
      </c>
    </row>
    <row r="726" spans="1:3" hidden="1">
      <c r="A726" s="21" t="s">
        <v>957</v>
      </c>
      <c r="B726" s="34" t="s">
        <v>10</v>
      </c>
      <c r="C726" s="35">
        <v>7</v>
      </c>
    </row>
    <row r="727" spans="1:3" hidden="1">
      <c r="A727" s="21" t="s">
        <v>958</v>
      </c>
      <c r="B727" s="34" t="s">
        <v>10</v>
      </c>
      <c r="C727" s="35">
        <v>8</v>
      </c>
    </row>
    <row r="728" spans="1:3" hidden="1">
      <c r="A728" s="21" t="s">
        <v>959</v>
      </c>
      <c r="B728" s="34" t="s">
        <v>14</v>
      </c>
      <c r="C728" s="35">
        <v>2</v>
      </c>
    </row>
    <row r="729" spans="1:3" hidden="1">
      <c r="A729" s="21" t="s">
        <v>483</v>
      </c>
      <c r="B729" s="34" t="s">
        <v>10</v>
      </c>
      <c r="C729" s="35">
        <v>8</v>
      </c>
    </row>
    <row r="730" spans="1:3" hidden="1">
      <c r="A730" s="21" t="s">
        <v>960</v>
      </c>
      <c r="B730" s="34" t="s">
        <v>10</v>
      </c>
      <c r="C730" s="35">
        <v>6</v>
      </c>
    </row>
    <row r="731" spans="1:3" hidden="1">
      <c r="A731" s="21" t="s">
        <v>358</v>
      </c>
      <c r="B731" s="34" t="s">
        <v>10</v>
      </c>
      <c r="C731" s="35">
        <v>2</v>
      </c>
    </row>
    <row r="732" spans="1:3" hidden="1">
      <c r="A732" s="21" t="s">
        <v>340</v>
      </c>
      <c r="B732" s="34" t="s">
        <v>14</v>
      </c>
      <c r="C732" s="35">
        <v>3.6124999999999998</v>
      </c>
    </row>
    <row r="733" spans="1:3" hidden="1">
      <c r="A733" s="21" t="s">
        <v>961</v>
      </c>
      <c r="B733" s="34" t="s">
        <v>10</v>
      </c>
      <c r="C733" s="35">
        <v>8</v>
      </c>
    </row>
    <row r="734" spans="1:3" hidden="1">
      <c r="A734" s="21" t="s">
        <v>360</v>
      </c>
      <c r="B734" s="34" t="s">
        <v>10</v>
      </c>
      <c r="C734" s="35">
        <v>3.32</v>
      </c>
    </row>
    <row r="735" spans="1:3" hidden="1">
      <c r="A735" s="21" t="s">
        <v>343</v>
      </c>
      <c r="B735" s="34" t="s">
        <v>10</v>
      </c>
      <c r="C735" s="35">
        <v>3</v>
      </c>
    </row>
    <row r="736" spans="1:3" hidden="1">
      <c r="A736" s="21" t="s">
        <v>344</v>
      </c>
      <c r="B736" s="34" t="s">
        <v>10</v>
      </c>
      <c r="C736" s="35">
        <v>3</v>
      </c>
    </row>
    <row r="737" spans="1:3" hidden="1">
      <c r="A737" s="21" t="s">
        <v>345</v>
      </c>
      <c r="B737" s="34" t="s">
        <v>10</v>
      </c>
      <c r="C737" s="35">
        <v>3</v>
      </c>
    </row>
    <row r="738" spans="1:3" hidden="1">
      <c r="A738" s="21" t="s">
        <v>339</v>
      </c>
      <c r="B738" s="34" t="s">
        <v>14</v>
      </c>
      <c r="C738" s="35">
        <v>2</v>
      </c>
    </row>
    <row r="739" spans="1:3" hidden="1">
      <c r="A739" s="21" t="s">
        <v>962</v>
      </c>
      <c r="B739" s="34" t="s">
        <v>10</v>
      </c>
      <c r="C739" s="35">
        <v>8</v>
      </c>
    </row>
    <row r="740" spans="1:3" hidden="1">
      <c r="A740" s="21" t="s">
        <v>963</v>
      </c>
      <c r="B740" s="34" t="s">
        <v>10</v>
      </c>
      <c r="C740" s="35">
        <v>8</v>
      </c>
    </row>
    <row r="741" spans="1:3" hidden="1">
      <c r="A741" s="21" t="s">
        <v>399</v>
      </c>
      <c r="B741" s="34" t="s">
        <v>10</v>
      </c>
      <c r="C741" s="35">
        <v>27000</v>
      </c>
    </row>
    <row r="742" spans="1:3" hidden="1">
      <c r="A742" s="21" t="s">
        <v>964</v>
      </c>
      <c r="B742" s="34" t="s">
        <v>14</v>
      </c>
      <c r="C742" s="35">
        <v>630000</v>
      </c>
    </row>
    <row r="743" spans="1:3" hidden="1">
      <c r="A743" s="21" t="s">
        <v>1059</v>
      </c>
      <c r="B743" s="34" t="s">
        <v>14</v>
      </c>
      <c r="C743" s="35">
        <v>420000</v>
      </c>
    </row>
    <row r="744" spans="1:3" hidden="1">
      <c r="A744" s="21" t="s">
        <v>966</v>
      </c>
      <c r="B744" s="34" t="s">
        <v>14</v>
      </c>
      <c r="C744" s="35">
        <v>630000</v>
      </c>
    </row>
    <row r="745" spans="1:3" hidden="1">
      <c r="A745" s="21" t="s">
        <v>1058</v>
      </c>
      <c r="B745" s="34" t="s">
        <v>14</v>
      </c>
      <c r="C745" s="35">
        <v>840000</v>
      </c>
    </row>
    <row r="746" spans="1:3" hidden="1">
      <c r="A746" s="21" t="s">
        <v>1060</v>
      </c>
      <c r="B746" s="34" t="s">
        <v>14</v>
      </c>
      <c r="C746" s="35">
        <v>1050000</v>
      </c>
    </row>
    <row r="747" spans="1:3" hidden="1">
      <c r="A747" s="21" t="s">
        <v>1061</v>
      </c>
      <c r="B747" s="34" t="s">
        <v>14</v>
      </c>
      <c r="C747" s="35">
        <v>1260000</v>
      </c>
    </row>
    <row r="748" spans="1:3" hidden="1">
      <c r="A748" s="21" t="s">
        <v>1063</v>
      </c>
      <c r="B748" s="34" t="s">
        <v>14</v>
      </c>
      <c r="C748" s="35">
        <f>42000*40</f>
        <v>1680000</v>
      </c>
    </row>
    <row r="749" spans="1:3" hidden="1">
      <c r="A749" s="21" t="s">
        <v>1064</v>
      </c>
      <c r="B749" s="34" t="s">
        <v>14</v>
      </c>
      <c r="C749" s="35">
        <f>20*42000</f>
        <v>840000</v>
      </c>
    </row>
    <row r="750" spans="1:3" hidden="1">
      <c r="A750" s="21" t="s">
        <v>1065</v>
      </c>
      <c r="B750" s="34" t="s">
        <v>14</v>
      </c>
      <c r="C750" s="35">
        <f>10*42000</f>
        <v>420000</v>
      </c>
    </row>
    <row r="751" spans="1:3" hidden="1">
      <c r="A751" s="21" t="s">
        <v>1062</v>
      </c>
      <c r="B751" s="34" t="s">
        <v>14</v>
      </c>
      <c r="C751" s="35">
        <v>210000</v>
      </c>
    </row>
    <row r="752" spans="1:3" hidden="1">
      <c r="A752" s="21" t="s">
        <v>611</v>
      </c>
      <c r="B752" s="34" t="s">
        <v>14</v>
      </c>
      <c r="C752" s="35">
        <v>64339.622641509428</v>
      </c>
    </row>
    <row r="753" spans="1:4" hidden="1">
      <c r="A753" s="21" t="s">
        <v>612</v>
      </c>
      <c r="B753" s="34" t="s">
        <v>14</v>
      </c>
      <c r="C753" s="35">
        <v>24528.301886792451</v>
      </c>
    </row>
    <row r="754" spans="1:4" hidden="1">
      <c r="A754" s="21" t="s">
        <v>613</v>
      </c>
      <c r="B754" s="34" t="s">
        <v>14</v>
      </c>
      <c r="C754" s="35">
        <v>24528.301886792451</v>
      </c>
    </row>
    <row r="755" spans="1:4" hidden="1">
      <c r="A755" s="21" t="s">
        <v>1056</v>
      </c>
      <c r="B755" s="34" t="s">
        <v>14</v>
      </c>
      <c r="C755" s="35">
        <v>105000</v>
      </c>
    </row>
    <row r="756" spans="1:4" hidden="1">
      <c r="A756" s="21" t="s">
        <v>1057</v>
      </c>
      <c r="B756" s="34" t="s">
        <v>14</v>
      </c>
      <c r="C756" s="35">
        <v>126000</v>
      </c>
    </row>
    <row r="757" spans="1:4" hidden="1">
      <c r="A757" s="21" t="s">
        <v>1055</v>
      </c>
      <c r="B757" s="34" t="s">
        <v>14</v>
      </c>
      <c r="C757" s="35">
        <f>36*42000</f>
        <v>1512000</v>
      </c>
      <c r="D757">
        <f>+C757/36</f>
        <v>42000</v>
      </c>
    </row>
    <row r="758" spans="1:4" hidden="1">
      <c r="A758" s="21" t="s">
        <v>1067</v>
      </c>
      <c r="B758" s="34" t="s">
        <v>14</v>
      </c>
      <c r="C758" s="35">
        <f>20*42000</f>
        <v>840000</v>
      </c>
    </row>
    <row r="759" spans="1:4" hidden="1">
      <c r="A759" s="21" t="s">
        <v>1068</v>
      </c>
      <c r="B759" s="34" t="s">
        <v>14</v>
      </c>
      <c r="C759" s="35">
        <f>15*42000</f>
        <v>630000</v>
      </c>
    </row>
    <row r="760" spans="1:4" hidden="1">
      <c r="A760" s="21" t="s">
        <v>1066</v>
      </c>
      <c r="B760" s="34" t="s">
        <v>14</v>
      </c>
      <c r="C760" s="35">
        <f>10*42000</f>
        <v>420000</v>
      </c>
    </row>
    <row r="761" spans="1:4" hidden="1">
      <c r="A761" s="21" t="s">
        <v>1054</v>
      </c>
      <c r="B761" s="34" t="s">
        <v>14</v>
      </c>
      <c r="C761" s="35">
        <v>273000</v>
      </c>
    </row>
    <row r="762" spans="1:4" hidden="1">
      <c r="A762" s="21" t="s">
        <v>614</v>
      </c>
      <c r="B762" s="34" t="s">
        <v>14</v>
      </c>
      <c r="C762" s="35">
        <v>438.22</v>
      </c>
    </row>
    <row r="763" spans="1:4" hidden="1">
      <c r="A763" s="21" t="s">
        <v>615</v>
      </c>
      <c r="B763" s="34" t="s">
        <v>14</v>
      </c>
      <c r="C763" s="35">
        <v>428.71323076923079</v>
      </c>
    </row>
    <row r="764" spans="1:4" hidden="1">
      <c r="A764" s="21" t="s">
        <v>969</v>
      </c>
      <c r="B764" s="34" t="s">
        <v>69</v>
      </c>
      <c r="C764" s="35">
        <v>3</v>
      </c>
    </row>
    <row r="765" spans="1:4" hidden="1">
      <c r="A765" s="21" t="s">
        <v>390</v>
      </c>
      <c r="B765" s="34" t="s">
        <v>14</v>
      </c>
      <c r="C765" s="35">
        <v>1950</v>
      </c>
    </row>
    <row r="766" spans="1:4" hidden="1">
      <c r="A766" s="21" t="s">
        <v>403</v>
      </c>
      <c r="B766" s="34" t="s">
        <v>14</v>
      </c>
      <c r="C766" s="35">
        <v>13000</v>
      </c>
    </row>
    <row r="767" spans="1:4" hidden="1">
      <c r="A767" s="21" t="s">
        <v>423</v>
      </c>
      <c r="B767" s="34" t="s">
        <v>14</v>
      </c>
      <c r="C767" s="35">
        <v>24000</v>
      </c>
    </row>
    <row r="768" spans="1:4" hidden="1">
      <c r="A768" s="21" t="s">
        <v>424</v>
      </c>
      <c r="B768" s="34" t="s">
        <v>14</v>
      </c>
      <c r="C768" s="35">
        <v>34500</v>
      </c>
    </row>
    <row r="769" spans="1:3" hidden="1">
      <c r="A769" s="21" t="s">
        <v>425</v>
      </c>
      <c r="B769" s="34" t="s">
        <v>14</v>
      </c>
      <c r="C769" s="35">
        <v>46000</v>
      </c>
    </row>
    <row r="770" spans="1:3" hidden="1">
      <c r="A770" s="21" t="s">
        <v>393</v>
      </c>
      <c r="B770" s="34" t="s">
        <v>14</v>
      </c>
      <c r="C770" s="35">
        <v>9800</v>
      </c>
    </row>
    <row r="771" spans="1:3" hidden="1">
      <c r="A771" s="21" t="s">
        <v>394</v>
      </c>
      <c r="B771" s="34" t="s">
        <v>14</v>
      </c>
      <c r="C771" s="35">
        <v>16000</v>
      </c>
    </row>
    <row r="772" spans="1:3" hidden="1">
      <c r="A772" s="21" t="s">
        <v>395</v>
      </c>
      <c r="B772" s="34" t="s">
        <v>14</v>
      </c>
      <c r="C772" s="35">
        <v>22000</v>
      </c>
    </row>
    <row r="773" spans="1:3" hidden="1">
      <c r="A773" s="21" t="s">
        <v>396</v>
      </c>
      <c r="B773" s="34" t="s">
        <v>14</v>
      </c>
      <c r="C773" s="35">
        <v>30000</v>
      </c>
    </row>
    <row r="774" spans="1:3" hidden="1">
      <c r="A774" s="21" t="s">
        <v>397</v>
      </c>
      <c r="B774" s="34" t="s">
        <v>14</v>
      </c>
      <c r="C774" s="35">
        <v>44000</v>
      </c>
    </row>
    <row r="775" spans="1:3" hidden="1">
      <c r="A775" s="21" t="s">
        <v>392</v>
      </c>
      <c r="B775" s="34" t="s">
        <v>14</v>
      </c>
      <c r="C775" s="35">
        <v>4600</v>
      </c>
    </row>
    <row r="776" spans="1:3" hidden="1">
      <c r="A776" s="21" t="s">
        <v>422</v>
      </c>
      <c r="B776" s="34" t="s">
        <v>14</v>
      </c>
      <c r="C776" s="35">
        <v>43000</v>
      </c>
    </row>
    <row r="777" spans="1:3" hidden="1">
      <c r="A777" s="21" t="s">
        <v>400</v>
      </c>
      <c r="B777" s="34" t="s">
        <v>14</v>
      </c>
      <c r="C777" s="35">
        <v>39000</v>
      </c>
    </row>
    <row r="778" spans="1:3" hidden="1">
      <c r="A778" s="21" t="s">
        <v>421</v>
      </c>
      <c r="B778" s="34" t="s">
        <v>14</v>
      </c>
      <c r="C778" s="35">
        <v>37000</v>
      </c>
    </row>
    <row r="779" spans="1:3" hidden="1">
      <c r="A779" s="21" t="s">
        <v>530</v>
      </c>
      <c r="B779" s="34" t="s">
        <v>10</v>
      </c>
      <c r="C779" s="35">
        <v>15</v>
      </c>
    </row>
    <row r="780" spans="1:3" hidden="1">
      <c r="A780" s="21" t="s">
        <v>970</v>
      </c>
      <c r="B780" s="34" t="s">
        <v>10</v>
      </c>
      <c r="C780" s="35">
        <v>7.65</v>
      </c>
    </row>
    <row r="781" spans="1:3" hidden="1">
      <c r="A781" s="21" t="s">
        <v>971</v>
      </c>
      <c r="B781" s="34" t="s">
        <v>10</v>
      </c>
      <c r="C781" s="35">
        <v>8</v>
      </c>
    </row>
    <row r="782" spans="1:3" hidden="1">
      <c r="A782" s="21" t="s">
        <v>972</v>
      </c>
      <c r="B782" s="34" t="s">
        <v>10</v>
      </c>
      <c r="C782" s="35">
        <v>3</v>
      </c>
    </row>
    <row r="783" spans="1:3" hidden="1">
      <c r="A783" s="21" t="s">
        <v>316</v>
      </c>
      <c r="B783" s="34" t="s">
        <v>10</v>
      </c>
      <c r="C783" s="35">
        <v>4</v>
      </c>
    </row>
    <row r="784" spans="1:3" hidden="1">
      <c r="A784" s="21" t="s">
        <v>297</v>
      </c>
      <c r="B784" s="34" t="s">
        <v>10</v>
      </c>
      <c r="C784" s="35">
        <v>2</v>
      </c>
    </row>
    <row r="785" spans="1:3" hidden="1">
      <c r="A785" s="21" t="s">
        <v>359</v>
      </c>
      <c r="B785" s="34" t="s">
        <v>10</v>
      </c>
      <c r="C785" s="35">
        <v>3</v>
      </c>
    </row>
    <row r="786" spans="1:3" hidden="1">
      <c r="A786" s="21" t="s">
        <v>973</v>
      </c>
      <c r="B786" s="34" t="s">
        <v>10</v>
      </c>
      <c r="C786" s="35">
        <v>8</v>
      </c>
    </row>
    <row r="787" spans="1:3" hidden="1">
      <c r="A787" s="21" t="s">
        <v>312</v>
      </c>
      <c r="B787" s="34" t="s">
        <v>10</v>
      </c>
      <c r="C787" s="35">
        <v>3</v>
      </c>
    </row>
    <row r="788" spans="1:3" hidden="1">
      <c r="A788" s="21" t="s">
        <v>616</v>
      </c>
      <c r="B788" s="34" t="s">
        <v>10</v>
      </c>
      <c r="C788" s="35">
        <v>8</v>
      </c>
    </row>
    <row r="789" spans="1:3" hidden="1">
      <c r="A789" s="21" t="s">
        <v>617</v>
      </c>
      <c r="B789" s="34" t="s">
        <v>10</v>
      </c>
      <c r="C789" s="35">
        <v>6</v>
      </c>
    </row>
    <row r="790" spans="1:3" hidden="1">
      <c r="A790" s="21" t="s">
        <v>532</v>
      </c>
      <c r="B790" s="34" t="s">
        <v>10</v>
      </c>
      <c r="C790" s="35">
        <v>13.25</v>
      </c>
    </row>
    <row r="791" spans="1:3" hidden="1">
      <c r="A791" s="21" t="s">
        <v>974</v>
      </c>
      <c r="B791" s="34" t="s">
        <v>14</v>
      </c>
      <c r="C791" s="35">
        <v>420</v>
      </c>
    </row>
    <row r="792" spans="1:3" hidden="1">
      <c r="A792" s="21" t="s">
        <v>975</v>
      </c>
      <c r="B792" s="34" t="s">
        <v>14</v>
      </c>
      <c r="C792" s="35">
        <v>14740</v>
      </c>
    </row>
    <row r="793" spans="1:3" hidden="1">
      <c r="A793" s="21" t="s">
        <v>976</v>
      </c>
      <c r="B793" s="34" t="s">
        <v>131</v>
      </c>
      <c r="C793" s="35">
        <v>16</v>
      </c>
    </row>
    <row r="794" spans="1:3" hidden="1">
      <c r="A794" s="21" t="s">
        <v>977</v>
      </c>
      <c r="B794" s="34" t="s">
        <v>10</v>
      </c>
      <c r="C794" s="35">
        <v>8</v>
      </c>
    </row>
    <row r="795" spans="1:3" hidden="1">
      <c r="A795" s="21" t="s">
        <v>993</v>
      </c>
      <c r="B795" s="75" t="s">
        <v>14</v>
      </c>
      <c r="C795" s="21">
        <v>722</v>
      </c>
    </row>
    <row r="796" spans="1:3" hidden="1">
      <c r="A796" s="21" t="s">
        <v>994</v>
      </c>
      <c r="B796" s="75" t="s">
        <v>14</v>
      </c>
      <c r="C796" s="21">
        <v>722</v>
      </c>
    </row>
    <row r="797" spans="1:3" hidden="1">
      <c r="A797" s="21" t="s">
        <v>995</v>
      </c>
      <c r="B797" s="75" t="s">
        <v>14</v>
      </c>
      <c r="C797" s="21">
        <v>722</v>
      </c>
    </row>
    <row r="798" spans="1:3" hidden="1">
      <c r="A798" s="21" t="s">
        <v>996</v>
      </c>
      <c r="B798" s="75" t="s">
        <v>14</v>
      </c>
      <c r="C798" s="21">
        <v>722</v>
      </c>
    </row>
    <row r="799" spans="1:3" hidden="1">
      <c r="A799" s="21" t="s">
        <v>997</v>
      </c>
      <c r="B799" s="75" t="s">
        <v>14</v>
      </c>
      <c r="C799" s="21">
        <v>722</v>
      </c>
    </row>
    <row r="800" spans="1:3" hidden="1">
      <c r="A800" s="21" t="s">
        <v>998</v>
      </c>
      <c r="B800" s="75" t="s">
        <v>14</v>
      </c>
      <c r="C800" s="21">
        <v>1228</v>
      </c>
    </row>
    <row r="801" spans="1:3" hidden="1">
      <c r="A801" s="21" t="s">
        <v>999</v>
      </c>
      <c r="B801" s="76" t="s">
        <v>14</v>
      </c>
      <c r="C801" s="77">
        <v>722</v>
      </c>
    </row>
    <row r="802" spans="1:3" hidden="1">
      <c r="A802" s="21" t="s">
        <v>1000</v>
      </c>
      <c r="B802" s="76" t="s">
        <v>14</v>
      </c>
      <c r="C802" s="77">
        <v>722</v>
      </c>
    </row>
    <row r="803" spans="1:3" hidden="1">
      <c r="A803" s="21" t="s">
        <v>1001</v>
      </c>
      <c r="B803" s="76" t="s">
        <v>14</v>
      </c>
      <c r="C803" s="77">
        <v>722</v>
      </c>
    </row>
    <row r="804" spans="1:3" hidden="1">
      <c r="A804" s="21" t="s">
        <v>1002</v>
      </c>
      <c r="B804" s="76" t="s">
        <v>14</v>
      </c>
      <c r="C804" s="77">
        <v>722</v>
      </c>
    </row>
    <row r="805" spans="1:3" hidden="1">
      <c r="A805" s="21" t="s">
        <v>1003</v>
      </c>
      <c r="B805" s="76" t="s">
        <v>14</v>
      </c>
      <c r="C805" s="77">
        <v>722</v>
      </c>
    </row>
    <row r="806" spans="1:3" hidden="1">
      <c r="A806" s="21" t="s">
        <v>1004</v>
      </c>
      <c r="B806" s="76" t="s">
        <v>14</v>
      </c>
      <c r="C806" s="77">
        <v>1228</v>
      </c>
    </row>
    <row r="807" spans="1:3" hidden="1">
      <c r="A807" s="21" t="s">
        <v>1005</v>
      </c>
      <c r="B807" s="75" t="s">
        <v>14</v>
      </c>
      <c r="C807" s="21">
        <v>900</v>
      </c>
    </row>
    <row r="808" spans="1:3" hidden="1">
      <c r="A808" s="21" t="s">
        <v>1006</v>
      </c>
      <c r="B808" s="75" t="s">
        <v>14</v>
      </c>
      <c r="C808" s="21">
        <v>900</v>
      </c>
    </row>
    <row r="809" spans="1:3" hidden="1">
      <c r="A809" s="21" t="s">
        <v>1007</v>
      </c>
      <c r="B809" s="75" t="s">
        <v>14</v>
      </c>
      <c r="C809" s="21">
        <v>900</v>
      </c>
    </row>
    <row r="810" spans="1:3" hidden="1">
      <c r="A810" s="21" t="s">
        <v>1008</v>
      </c>
      <c r="B810" s="75" t="s">
        <v>14</v>
      </c>
      <c r="C810" s="21">
        <v>900</v>
      </c>
    </row>
    <row r="811" spans="1:3" hidden="1">
      <c r="A811" s="21" t="s">
        <v>1009</v>
      </c>
      <c r="B811" s="75" t="s">
        <v>14</v>
      </c>
      <c r="C811" s="21">
        <v>900</v>
      </c>
    </row>
    <row r="812" spans="1:3" hidden="1">
      <c r="A812" s="21" t="s">
        <v>1010</v>
      </c>
      <c r="B812" s="75" t="s">
        <v>14</v>
      </c>
      <c r="C812" s="21">
        <v>1228</v>
      </c>
    </row>
    <row r="813" spans="1:3" hidden="1">
      <c r="A813" s="21" t="s">
        <v>1011</v>
      </c>
      <c r="B813" s="75" t="s">
        <v>14</v>
      </c>
      <c r="C813" s="21">
        <v>633</v>
      </c>
    </row>
    <row r="814" spans="1:3" hidden="1">
      <c r="A814" s="21" t="s">
        <v>1012</v>
      </c>
      <c r="B814" s="75" t="s">
        <v>14</v>
      </c>
      <c r="C814" s="21">
        <v>1468.9999999999998</v>
      </c>
    </row>
    <row r="815" spans="1:3" hidden="1">
      <c r="A815" s="21" t="s">
        <v>1013</v>
      </c>
      <c r="B815" s="75" t="s">
        <v>14</v>
      </c>
      <c r="C815" s="21">
        <v>633</v>
      </c>
    </row>
    <row r="816" spans="1:3" hidden="1">
      <c r="A816" s="21" t="s">
        <v>1014</v>
      </c>
      <c r="B816" s="75" t="s">
        <v>14</v>
      </c>
      <c r="C816" s="21">
        <v>722</v>
      </c>
    </row>
    <row r="817" spans="1:3" hidden="1">
      <c r="A817" s="21" t="s">
        <v>1015</v>
      </c>
      <c r="B817" s="75" t="s">
        <v>14</v>
      </c>
      <c r="C817" s="21">
        <v>722</v>
      </c>
    </row>
    <row r="818" spans="1:3" hidden="1">
      <c r="A818" s="21" t="s">
        <v>1016</v>
      </c>
      <c r="B818" s="75" t="s">
        <v>14</v>
      </c>
      <c r="C818" s="21">
        <v>1228</v>
      </c>
    </row>
    <row r="819" spans="1:3" hidden="1">
      <c r="A819" s="80" t="s">
        <v>1082</v>
      </c>
      <c r="B819" s="75" t="s">
        <v>14</v>
      </c>
      <c r="C819" s="21">
        <f>5*42000</f>
        <v>210000</v>
      </c>
    </row>
    <row r="820" spans="1:3" hidden="1">
      <c r="A820" s="80" t="s">
        <v>1018</v>
      </c>
      <c r="B820" s="75" t="s">
        <v>14</v>
      </c>
      <c r="C820" s="21">
        <f>10*42000</f>
        <v>420000</v>
      </c>
    </row>
    <row r="821" spans="1:3" hidden="1">
      <c r="A821" s="80" t="s">
        <v>1024</v>
      </c>
      <c r="B821" s="75" t="s">
        <v>14</v>
      </c>
      <c r="C821" s="21">
        <f>2.5*42000</f>
        <v>105000</v>
      </c>
    </row>
    <row r="822" spans="1:3" hidden="1">
      <c r="A822" s="80" t="s">
        <v>965</v>
      </c>
      <c r="B822" s="75" t="s">
        <v>14</v>
      </c>
      <c r="C822" s="21">
        <f>10*42000</f>
        <v>420000</v>
      </c>
    </row>
    <row r="823" spans="1:3" hidden="1">
      <c r="A823" s="80" t="s">
        <v>1022</v>
      </c>
      <c r="B823" s="75" t="s">
        <v>14</v>
      </c>
      <c r="C823" s="21">
        <f>2*42000</f>
        <v>84000</v>
      </c>
    </row>
    <row r="824" spans="1:3" hidden="1">
      <c r="A824" s="80" t="s">
        <v>967</v>
      </c>
      <c r="B824" s="75" t="s">
        <v>14</v>
      </c>
      <c r="C824" s="21">
        <f>42000*20</f>
        <v>840000</v>
      </c>
    </row>
    <row r="825" spans="1:3" hidden="1">
      <c r="A825" s="80" t="s">
        <v>1083</v>
      </c>
      <c r="B825" s="75" t="s">
        <v>14</v>
      </c>
      <c r="C825" s="21">
        <f>42000*15</f>
        <v>630000</v>
      </c>
    </row>
    <row r="826" spans="1:3" hidden="1">
      <c r="A826" s="80" t="s">
        <v>1090</v>
      </c>
      <c r="B826" s="75" t="s">
        <v>14</v>
      </c>
      <c r="C826" s="21">
        <f>42000*5</f>
        <v>210000</v>
      </c>
    </row>
    <row r="827" spans="1:3" hidden="1">
      <c r="A827" t="s">
        <v>1030</v>
      </c>
      <c r="B827" s="75" t="s">
        <v>14</v>
      </c>
      <c r="C827" s="21">
        <f>42000*3</f>
        <v>126000</v>
      </c>
    </row>
    <row r="828" spans="1:3" hidden="1">
      <c r="A828" s="80" t="s">
        <v>1058</v>
      </c>
      <c r="B828" s="75" t="s">
        <v>14</v>
      </c>
      <c r="C828" s="21">
        <f>42000*20</f>
        <v>840000</v>
      </c>
    </row>
    <row r="829" spans="1:3" hidden="1">
      <c r="A829" s="80" t="s">
        <v>1031</v>
      </c>
      <c r="B829" s="75" t="s">
        <v>14</v>
      </c>
      <c r="C829" s="21">
        <f>42000*20</f>
        <v>840000</v>
      </c>
    </row>
    <row r="830" spans="1:3" ht="26.4" hidden="1">
      <c r="A830" s="80" t="s">
        <v>1035</v>
      </c>
      <c r="B830" s="75" t="s">
        <v>14</v>
      </c>
      <c r="C830" s="21">
        <f>42000*5</f>
        <v>210000</v>
      </c>
    </row>
    <row r="831" spans="1:3" hidden="1">
      <c r="A831" s="80" t="s">
        <v>1031</v>
      </c>
      <c r="B831" s="75" t="s">
        <v>14</v>
      </c>
      <c r="C831" s="21">
        <f>42000*20</f>
        <v>840000</v>
      </c>
    </row>
    <row r="832" spans="1:3" ht="26.4" hidden="1">
      <c r="A832" s="80" t="s">
        <v>1036</v>
      </c>
      <c r="B832" s="75" t="s">
        <v>14</v>
      </c>
      <c r="C832" s="21">
        <f>42000*5</f>
        <v>210000</v>
      </c>
    </row>
    <row r="833" spans="1:3" hidden="1">
      <c r="A833" s="80" t="s">
        <v>1023</v>
      </c>
      <c r="B833" s="75" t="s">
        <v>14</v>
      </c>
      <c r="C833" s="21">
        <f>42000*3</f>
        <v>126000</v>
      </c>
    </row>
    <row r="834" spans="1:3" hidden="1">
      <c r="A834" s="80" t="s">
        <v>968</v>
      </c>
      <c r="B834" s="75" t="s">
        <v>14</v>
      </c>
      <c r="C834" s="21">
        <f>42000*5</f>
        <v>210000</v>
      </c>
    </row>
    <row r="835" spans="1:3" hidden="1">
      <c r="A835" s="80" t="s">
        <v>1084</v>
      </c>
      <c r="B835" s="75" t="s">
        <v>14</v>
      </c>
      <c r="C835" s="21">
        <f>42000*10</f>
        <v>420000</v>
      </c>
    </row>
    <row r="836" spans="1:3" hidden="1">
      <c r="A836" s="80" t="s">
        <v>1029</v>
      </c>
      <c r="B836" s="75" t="s">
        <v>14</v>
      </c>
      <c r="C836" s="21">
        <f>42000*15</f>
        <v>630000</v>
      </c>
    </row>
    <row r="837" spans="1:3" ht="39.6" hidden="1">
      <c r="A837" s="80" t="s">
        <v>1080</v>
      </c>
      <c r="B837" s="34" t="s">
        <v>14</v>
      </c>
      <c r="C837" s="35">
        <v>360</v>
      </c>
    </row>
    <row r="838" spans="1:3" ht="39.6" hidden="1">
      <c r="A838" s="80" t="s">
        <v>1081</v>
      </c>
      <c r="B838" s="34" t="s">
        <v>14</v>
      </c>
      <c r="C838" s="35">
        <v>150</v>
      </c>
    </row>
    <row r="839" spans="1:3" hidden="1">
      <c r="A839" s="92" t="s">
        <v>1028</v>
      </c>
      <c r="B839" s="34" t="s">
        <v>14</v>
      </c>
      <c r="C839" s="35">
        <v>104.4</v>
      </c>
    </row>
    <row r="840" spans="1:3" hidden="1">
      <c r="A840" t="s">
        <v>1026</v>
      </c>
      <c r="B840" s="34" t="s">
        <v>14</v>
      </c>
      <c r="C840" s="35">
        <v>56.430389574166668</v>
      </c>
    </row>
    <row r="841" spans="1:3" hidden="1">
      <c r="A841" t="s">
        <v>1025</v>
      </c>
      <c r="B841" s="34" t="s">
        <v>14</v>
      </c>
      <c r="C841" s="35">
        <v>104.4</v>
      </c>
    </row>
    <row r="842" spans="1:3" hidden="1">
      <c r="A842" t="s">
        <v>1027</v>
      </c>
      <c r="B842" s="34" t="s">
        <v>14</v>
      </c>
      <c r="C842" s="35">
        <v>56.430389574166668</v>
      </c>
    </row>
  </sheetData>
  <autoFilter ref="A1:C842" xr:uid="{00000000-0009-0000-0000-000004000000}">
    <filterColumn colId="0">
      <filters>
        <filter val="BASE SOPORTE INTERRUP FOTOELEC 120-240V"/>
        <filter val="INTERRUP POT VACIO 13,8 KV SF6 1250A"/>
        <filter val="INTERRUP POT VACIO 34,5 KV SF6 630A"/>
        <filter val="INTERRUPTOR 2 VIAS AISLADO EN SF6"/>
        <filter val="INTERRUPTOR 3 VIAS AISLADO EN SF6"/>
        <filter val="INTERRUPTOR 4 VIAS AISLADO EN SF6"/>
        <filter val="INTERRUPTOR DE POTENCIA 24KV"/>
        <filter val="INTERRUPTOR DE POTENCIA 24KV 1250 AMP"/>
        <filter val="INTERRUPTOR EN VACÍO TIPO CANISTER"/>
        <filter val="INTERRUPTOR EN VACÍO TIPO MOLDEADO"/>
        <filter val="INTERRUPTOR FOTOELECTRICO NA 120V"/>
        <filter val="INTERRUPTOR FOTOELECTRICO NC 120-240V"/>
        <filter val="INTERRUPTOR POTE VACIO 13.8 KV SF6 2000A LLEGADA"/>
        <filter val="INTERRUPTOR POTE VACIO 34.5 KV SF6 1250A LLEGADA"/>
        <filter val="INTERRUPTOR POTENCIA VACIO 13,8 KV SF6 1250A"/>
        <filter val="INTERRUPTOR POTENCIA VACIO 13,8 KV SF6 2000A"/>
        <filter val="INTERRUPTOR POTENCIA VACIO 34,5 KV SF6 1250A"/>
        <filter val="INTERRUPTOR POTENCIA VACIO 34,5 KV SF6 630A"/>
        <filter val="INTERRUPTOR POTENCIA VACIO 34,5 KV SF6 800A"/>
        <filter val="INTERRUPTOR TRANS/AUT VACIO 3F 600ª 15KV BASICO"/>
        <filter val="TIPO CELDA CON INTERRUPTOR TENSION 15 KV Y 500 AMPERIOS"/>
      </filters>
    </filterColumn>
  </autoFilter>
  <dataValidations count="2">
    <dataValidation type="list" allowBlank="1" showErrorMessage="1" sqref="A430:A431" xr:uid="{00000000-0002-0000-0400-000000000000}">
      <formula1>INDIRECT(#REF!)</formula1>
    </dataValidation>
    <dataValidation type="list" allowBlank="1" showInputMessage="1" showErrorMessage="1" sqref="A629 A538:A540 A499" xr:uid="{00000000-0002-0000-0400-000001000000}">
      <formula1>INDIRECT(XFD499)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4"/>
  <sheetViews>
    <sheetView topLeftCell="A96" workbookViewId="0">
      <selection activeCell="D138" sqref="D138"/>
    </sheetView>
  </sheetViews>
  <sheetFormatPr baseColWidth="10" defaultRowHeight="14.4"/>
  <cols>
    <col min="1" max="1" width="71.33203125" customWidth="1"/>
    <col min="2" max="2" width="16.44140625" customWidth="1"/>
    <col min="3" max="3" width="23.6640625" customWidth="1"/>
  </cols>
  <sheetData>
    <row r="1" spans="1:3" ht="15" thickBot="1">
      <c r="A1" s="147" t="s">
        <v>1160</v>
      </c>
      <c r="B1" s="148"/>
      <c r="C1" s="149"/>
    </row>
    <row r="2" spans="1:3" ht="15" thickBot="1">
      <c r="A2" s="93" t="s">
        <v>1302</v>
      </c>
      <c r="B2" s="94">
        <v>22639.68</v>
      </c>
      <c r="C2" s="95" t="s">
        <v>1159</v>
      </c>
    </row>
    <row r="3" spans="1:3" ht="15" thickBot="1">
      <c r="A3" s="93" t="s">
        <v>1301</v>
      </c>
      <c r="B3" s="94">
        <v>17121</v>
      </c>
      <c r="C3" s="94">
        <v>17121</v>
      </c>
    </row>
    <row r="4" spans="1:3" ht="15" thickBot="1">
      <c r="A4" s="93" t="s">
        <v>1303</v>
      </c>
      <c r="B4" s="95">
        <v>120.16</v>
      </c>
      <c r="C4" s="95" t="s">
        <v>1158</v>
      </c>
    </row>
    <row r="5" spans="1:3" ht="15" thickBot="1">
      <c r="A5" s="93" t="s">
        <v>51</v>
      </c>
      <c r="B5" s="94">
        <v>29202.32</v>
      </c>
      <c r="C5" s="94">
        <v>29202.32</v>
      </c>
    </row>
    <row r="6" spans="1:3" ht="15" thickBot="1">
      <c r="A6" s="93" t="s">
        <v>1161</v>
      </c>
      <c r="B6" s="95" t="s">
        <v>1158</v>
      </c>
      <c r="C6" s="95" t="s">
        <v>1158</v>
      </c>
    </row>
    <row r="7" spans="1:3" ht="15" thickBot="1">
      <c r="A7" s="97" t="s">
        <v>1304</v>
      </c>
      <c r="B7" s="98">
        <v>133871.09</v>
      </c>
      <c r="C7" s="94">
        <v>133871.09</v>
      </c>
    </row>
    <row r="8" spans="1:3" ht="15" thickBot="1">
      <c r="A8" s="97" t="s">
        <v>1305</v>
      </c>
      <c r="B8" s="98">
        <v>118309.38</v>
      </c>
      <c r="C8" s="94">
        <v>118309.38</v>
      </c>
    </row>
    <row r="9" spans="1:3" ht="15" thickBot="1">
      <c r="A9" s="97" t="s">
        <v>1306</v>
      </c>
      <c r="B9" s="98">
        <v>84000.29</v>
      </c>
      <c r="C9" s="94">
        <v>84000.29</v>
      </c>
    </row>
    <row r="10" spans="1:3" ht="15" thickBot="1">
      <c r="A10" s="97" t="s">
        <v>1307</v>
      </c>
      <c r="B10" s="98">
        <v>136605.88</v>
      </c>
      <c r="C10" s="94">
        <v>136605.88</v>
      </c>
    </row>
    <row r="11" spans="1:3" ht="16.2" thickBot="1">
      <c r="A11" s="97" t="s">
        <v>1162</v>
      </c>
      <c r="B11" s="98">
        <v>251665.96</v>
      </c>
      <c r="C11" s="94">
        <v>251665.96</v>
      </c>
    </row>
    <row r="12" spans="1:3" ht="16.2" thickBot="1">
      <c r="A12" s="97" t="s">
        <v>1163</v>
      </c>
      <c r="B12" s="98">
        <v>92264.15</v>
      </c>
      <c r="C12" s="94">
        <v>92264.15</v>
      </c>
    </row>
    <row r="13" spans="1:3" ht="16.2" thickBot="1">
      <c r="A13" s="97" t="s">
        <v>1164</v>
      </c>
      <c r="B13" s="98">
        <v>92256.72</v>
      </c>
      <c r="C13" s="94">
        <v>92256.72</v>
      </c>
    </row>
    <row r="14" spans="1:3" ht="16.2" thickBot="1">
      <c r="A14" s="97" t="s">
        <v>1165</v>
      </c>
      <c r="B14" s="98">
        <v>83169.77</v>
      </c>
      <c r="C14" s="94">
        <v>83169.77</v>
      </c>
    </row>
    <row r="15" spans="1:3" ht="16.2" thickBot="1">
      <c r="A15" s="97" t="s">
        <v>1166</v>
      </c>
      <c r="B15" s="98">
        <v>73166.44</v>
      </c>
      <c r="C15" s="94">
        <v>73166.44</v>
      </c>
    </row>
    <row r="16" spans="1:3" ht="16.2" thickBot="1">
      <c r="A16" s="97" t="s">
        <v>1167</v>
      </c>
      <c r="B16" s="98">
        <v>41336</v>
      </c>
      <c r="C16" s="94">
        <v>41336</v>
      </c>
    </row>
    <row r="17" spans="1:3" ht="16.2" thickBot="1">
      <c r="A17" s="97" t="s">
        <v>1168</v>
      </c>
      <c r="B17" s="98">
        <v>104659.97</v>
      </c>
      <c r="C17" s="94">
        <v>104659.97</v>
      </c>
    </row>
    <row r="18" spans="1:3" ht="16.2" thickBot="1">
      <c r="A18" s="97" t="s">
        <v>1169</v>
      </c>
      <c r="B18" s="98">
        <v>84000.29</v>
      </c>
      <c r="C18" s="94">
        <v>84000.29</v>
      </c>
    </row>
    <row r="19" spans="1:3" ht="16.2" thickBot="1">
      <c r="A19" s="97" t="s">
        <v>1170</v>
      </c>
      <c r="B19" s="98">
        <v>429578.64</v>
      </c>
      <c r="C19" s="94">
        <v>429578.64</v>
      </c>
    </row>
    <row r="20" spans="1:3" ht="16.2" thickBot="1">
      <c r="A20" s="97" t="s">
        <v>1171</v>
      </c>
      <c r="B20" s="98">
        <v>43697.21</v>
      </c>
      <c r="C20" s="94">
        <v>43697.21</v>
      </c>
    </row>
    <row r="21" spans="1:3" ht="16.2" thickBot="1">
      <c r="A21" s="97" t="s">
        <v>1172</v>
      </c>
      <c r="B21" s="98">
        <v>52470.98</v>
      </c>
      <c r="C21" s="94">
        <v>52470.98</v>
      </c>
    </row>
    <row r="22" spans="1:3" ht="16.2" thickBot="1">
      <c r="A22" s="97" t="s">
        <v>1173</v>
      </c>
      <c r="B22" s="98">
        <v>27662.05</v>
      </c>
      <c r="C22" s="94">
        <v>27662.05</v>
      </c>
    </row>
    <row r="23" spans="1:3" ht="16.2" thickBot="1">
      <c r="A23" s="97" t="s">
        <v>1174</v>
      </c>
      <c r="B23" s="98">
        <v>23362.36</v>
      </c>
      <c r="C23" s="94">
        <v>23362.36</v>
      </c>
    </row>
    <row r="24" spans="1:3" ht="16.2" thickBot="1">
      <c r="A24" s="97" t="s">
        <v>1175</v>
      </c>
      <c r="B24" s="98">
        <v>9507.98</v>
      </c>
      <c r="C24" s="94">
        <v>9507.98</v>
      </c>
    </row>
    <row r="25" spans="1:3" ht="15" thickBot="1">
      <c r="A25" s="97" t="s">
        <v>1176</v>
      </c>
      <c r="B25" s="93" t="s">
        <v>1158</v>
      </c>
      <c r="C25" s="95" t="s">
        <v>1158</v>
      </c>
    </row>
    <row r="26" spans="1:3" ht="16.2" thickBot="1">
      <c r="A26" s="97" t="s">
        <v>1177</v>
      </c>
      <c r="B26" s="93" t="s">
        <v>1158</v>
      </c>
      <c r="C26" s="94">
        <v>19500</v>
      </c>
    </row>
    <row r="27" spans="1:3" ht="16.2" thickBot="1">
      <c r="A27" s="97" t="s">
        <v>1178</v>
      </c>
      <c r="B27" s="93" t="s">
        <v>1158</v>
      </c>
      <c r="C27" s="95" t="s">
        <v>1179</v>
      </c>
    </row>
    <row r="28" spans="1:3" ht="16.2" thickBot="1">
      <c r="A28" s="97" t="s">
        <v>1180</v>
      </c>
      <c r="B28" s="93" t="s">
        <v>1158</v>
      </c>
      <c r="C28" s="94">
        <v>9370</v>
      </c>
    </row>
    <row r="29" spans="1:3" ht="16.2" thickBot="1">
      <c r="A29" s="97" t="s">
        <v>1181</v>
      </c>
      <c r="B29" s="93" t="s">
        <v>1158</v>
      </c>
      <c r="C29" s="94">
        <v>6100</v>
      </c>
    </row>
    <row r="30" spans="1:3" ht="16.2" thickBot="1">
      <c r="A30" s="97" t="s">
        <v>1182</v>
      </c>
      <c r="B30" s="93" t="s">
        <v>1158</v>
      </c>
      <c r="C30" s="94">
        <v>7130</v>
      </c>
    </row>
    <row r="31" spans="1:3" ht="29.4" thickBot="1">
      <c r="A31" s="97" t="s">
        <v>1183</v>
      </c>
      <c r="B31" s="93" t="s">
        <v>1158</v>
      </c>
      <c r="C31" s="94">
        <v>11500</v>
      </c>
    </row>
    <row r="32" spans="1:3" ht="16.2" thickBot="1">
      <c r="A32" s="97" t="s">
        <v>1184</v>
      </c>
      <c r="B32" s="93" t="s">
        <v>1158</v>
      </c>
      <c r="C32" s="94">
        <v>3990</v>
      </c>
    </row>
    <row r="33" spans="1:3" ht="16.2" thickBot="1">
      <c r="A33" s="97" t="s">
        <v>1185</v>
      </c>
      <c r="B33" s="93" t="s">
        <v>1158</v>
      </c>
      <c r="C33" s="94">
        <v>9900</v>
      </c>
    </row>
    <row r="34" spans="1:3" ht="16.2" thickBot="1">
      <c r="A34" s="97" t="s">
        <v>1186</v>
      </c>
      <c r="B34" s="93" t="s">
        <v>1158</v>
      </c>
      <c r="C34" s="94">
        <v>4000</v>
      </c>
    </row>
    <row r="35" spans="1:3" ht="16.2" thickBot="1">
      <c r="A35" s="97" t="s">
        <v>1187</v>
      </c>
      <c r="B35" s="93" t="s">
        <v>1158</v>
      </c>
      <c r="C35" s="94">
        <v>7810</v>
      </c>
    </row>
    <row r="36" spans="1:3" ht="16.2" thickBot="1">
      <c r="A36" s="97" t="s">
        <v>1188</v>
      </c>
      <c r="B36" s="93" t="s">
        <v>1158</v>
      </c>
      <c r="C36" s="94">
        <v>15600</v>
      </c>
    </row>
    <row r="37" spans="1:3" ht="16.2" thickBot="1">
      <c r="A37" s="97" t="s">
        <v>1189</v>
      </c>
      <c r="B37" s="93" t="s">
        <v>1158</v>
      </c>
      <c r="C37" s="94">
        <v>4970</v>
      </c>
    </row>
    <row r="38" spans="1:3" ht="16.2" thickBot="1">
      <c r="A38" s="97" t="s">
        <v>1190</v>
      </c>
      <c r="B38" s="93" t="s">
        <v>1158</v>
      </c>
      <c r="C38" s="94">
        <v>5330</v>
      </c>
    </row>
    <row r="39" spans="1:3" ht="16.2" thickBot="1">
      <c r="A39" s="97" t="s">
        <v>1191</v>
      </c>
      <c r="B39" s="93" t="s">
        <v>1158</v>
      </c>
      <c r="C39" s="94">
        <v>2820</v>
      </c>
    </row>
    <row r="40" spans="1:3" ht="16.2" thickBot="1">
      <c r="A40" s="97" t="s">
        <v>1192</v>
      </c>
      <c r="B40" s="93" t="s">
        <v>1158</v>
      </c>
      <c r="C40" s="94">
        <v>1310</v>
      </c>
    </row>
    <row r="41" spans="1:3" ht="16.2" thickBot="1">
      <c r="A41" s="97" t="s">
        <v>1193</v>
      </c>
      <c r="B41" s="93" t="s">
        <v>1158</v>
      </c>
      <c r="C41" s="94">
        <v>3590</v>
      </c>
    </row>
    <row r="42" spans="1:3" ht="16.2" thickBot="1">
      <c r="A42" s="97" t="s">
        <v>1194</v>
      </c>
      <c r="B42" s="93" t="s">
        <v>1158</v>
      </c>
      <c r="C42" s="94">
        <v>5690</v>
      </c>
    </row>
    <row r="43" spans="1:3" ht="16.2" thickBot="1">
      <c r="A43" s="97" t="s">
        <v>1195</v>
      </c>
      <c r="B43" s="93" t="s">
        <v>1158</v>
      </c>
      <c r="C43" s="94">
        <v>1500</v>
      </c>
    </row>
    <row r="44" spans="1:3" ht="16.2" thickBot="1">
      <c r="A44" s="97" t="s">
        <v>1196</v>
      </c>
      <c r="B44" s="93" t="s">
        <v>1158</v>
      </c>
      <c r="C44" s="94">
        <v>4830</v>
      </c>
    </row>
    <row r="45" spans="1:3" ht="15" thickBot="1">
      <c r="A45" s="97" t="s">
        <v>1197</v>
      </c>
      <c r="B45" s="93" t="s">
        <v>1158</v>
      </c>
      <c r="C45" s="94">
        <v>9220</v>
      </c>
    </row>
    <row r="46" spans="1:3" ht="16.2" thickBot="1">
      <c r="A46" s="97" t="s">
        <v>1198</v>
      </c>
      <c r="B46" s="93" t="s">
        <v>1158</v>
      </c>
      <c r="C46" s="94">
        <v>2150</v>
      </c>
    </row>
    <row r="47" spans="1:3" ht="15" thickBot="1">
      <c r="A47" s="93" t="s">
        <v>1200</v>
      </c>
      <c r="B47" s="99">
        <v>21000</v>
      </c>
      <c r="C47" s="98">
        <v>25650</v>
      </c>
    </row>
    <row r="48" spans="1:3" ht="15" thickBot="1">
      <c r="A48" s="93" t="s">
        <v>1201</v>
      </c>
      <c r="B48" s="99">
        <v>18480</v>
      </c>
      <c r="C48" s="98">
        <v>20650</v>
      </c>
    </row>
    <row r="49" spans="1:3" ht="15" thickBot="1">
      <c r="A49" s="93" t="s">
        <v>1202</v>
      </c>
      <c r="B49" s="99">
        <v>17355.900000000001</v>
      </c>
      <c r="C49" s="98">
        <v>21588.43</v>
      </c>
    </row>
    <row r="50" spans="1:3" ht="15" thickBot="1">
      <c r="A50" s="106" t="s">
        <v>1203</v>
      </c>
      <c r="B50" s="107"/>
      <c r="C50" s="108"/>
    </row>
    <row r="51" spans="1:3" ht="29.4" thickBot="1">
      <c r="A51" s="93" t="s">
        <v>1204</v>
      </c>
      <c r="B51" s="94">
        <v>60757.75</v>
      </c>
      <c r="C51" s="95" t="s">
        <v>1205</v>
      </c>
    </row>
    <row r="52" spans="1:3" ht="29.4" thickBot="1">
      <c r="A52" s="93" t="s">
        <v>1206</v>
      </c>
      <c r="B52" s="94">
        <v>36660.9</v>
      </c>
      <c r="C52" s="95" t="s">
        <v>1205</v>
      </c>
    </row>
    <row r="53" spans="1:3" ht="29.4" thickBot="1">
      <c r="A53" s="93" t="s">
        <v>1207</v>
      </c>
      <c r="B53" s="94">
        <v>24189.4</v>
      </c>
      <c r="C53" s="95" t="s">
        <v>1205</v>
      </c>
    </row>
    <row r="54" spans="1:3" ht="15" thickBot="1">
      <c r="A54" s="93" t="s">
        <v>1314</v>
      </c>
      <c r="B54" s="101">
        <v>69086.559999999998</v>
      </c>
      <c r="C54" s="101">
        <v>75214.25</v>
      </c>
    </row>
    <row r="55" spans="1:3" ht="15" thickBot="1">
      <c r="A55" s="93" t="s">
        <v>1315</v>
      </c>
      <c r="B55" s="99">
        <v>21000</v>
      </c>
      <c r="C55" s="102">
        <v>35000</v>
      </c>
    </row>
    <row r="56" spans="1:3" ht="15" thickBot="1">
      <c r="A56" s="93" t="s">
        <v>1208</v>
      </c>
      <c r="B56" s="102">
        <v>5700</v>
      </c>
      <c r="C56" s="102">
        <v>5700</v>
      </c>
    </row>
    <row r="57" spans="1:3" ht="15" thickBot="1">
      <c r="A57" s="93" t="s">
        <v>1316</v>
      </c>
      <c r="B57" s="99">
        <v>2221.7800000000002</v>
      </c>
      <c r="C57" s="102">
        <v>3500</v>
      </c>
    </row>
    <row r="58" spans="1:3" ht="15" thickBot="1">
      <c r="A58" s="106" t="s">
        <v>1209</v>
      </c>
      <c r="B58" s="107"/>
      <c r="C58" s="108"/>
    </row>
    <row r="59" spans="1:3" ht="15" thickBot="1">
      <c r="A59" s="93" t="s">
        <v>1308</v>
      </c>
      <c r="B59" s="95" t="s">
        <v>1205</v>
      </c>
      <c r="C59" s="101">
        <v>188112.37</v>
      </c>
    </row>
    <row r="60" spans="1:3" ht="15" thickBot="1">
      <c r="A60" s="93" t="s">
        <v>1309</v>
      </c>
      <c r="B60" s="103" t="s">
        <v>1205</v>
      </c>
      <c r="C60" s="102">
        <v>4881.3</v>
      </c>
    </row>
    <row r="61" spans="1:3" ht="15" thickBot="1">
      <c r="A61" s="93" t="s">
        <v>1310</v>
      </c>
      <c r="B61" s="103" t="s">
        <v>1205</v>
      </c>
      <c r="C61" s="102">
        <v>224838.72</v>
      </c>
    </row>
    <row r="62" spans="1:3" ht="15" thickBot="1">
      <c r="A62" s="93" t="s">
        <v>1311</v>
      </c>
      <c r="B62" s="103" t="s">
        <v>1205</v>
      </c>
      <c r="C62" s="102">
        <v>5300</v>
      </c>
    </row>
    <row r="63" spans="1:3" ht="15" thickBot="1">
      <c r="A63" s="93" t="s">
        <v>1312</v>
      </c>
      <c r="B63" s="103" t="s">
        <v>1205</v>
      </c>
      <c r="C63" s="102">
        <v>5151.6000000000004</v>
      </c>
    </row>
    <row r="64" spans="1:3" ht="15" thickBot="1">
      <c r="A64" s="93" t="s">
        <v>1313</v>
      </c>
      <c r="B64" s="103" t="s">
        <v>1205</v>
      </c>
      <c r="C64" s="102">
        <v>3180</v>
      </c>
    </row>
    <row r="65" spans="1:3" ht="29.4" thickBot="1">
      <c r="A65" s="93" t="s">
        <v>1210</v>
      </c>
      <c r="B65" s="103" t="s">
        <v>1205</v>
      </c>
      <c r="C65" s="102">
        <v>8215</v>
      </c>
    </row>
    <row r="66" spans="1:3" ht="16.2" thickBot="1">
      <c r="A66" s="93" t="s">
        <v>1211</v>
      </c>
      <c r="B66" s="103" t="s">
        <v>1205</v>
      </c>
      <c r="C66" s="102">
        <v>4505</v>
      </c>
    </row>
    <row r="67" spans="1:3" ht="29.4" thickBot="1">
      <c r="A67" s="93" t="s">
        <v>1212</v>
      </c>
      <c r="B67" s="103" t="s">
        <v>1205</v>
      </c>
      <c r="C67" s="102">
        <v>6245.84</v>
      </c>
    </row>
    <row r="68" spans="1:3">
      <c r="A68" s="96" t="s">
        <v>1213</v>
      </c>
      <c r="B68" s="156" t="s">
        <v>1205</v>
      </c>
      <c r="C68" s="158">
        <v>5758.45</v>
      </c>
    </row>
    <row r="69" spans="1:3" ht="16.2" thickBot="1">
      <c r="A69" s="93" t="s">
        <v>1214</v>
      </c>
      <c r="B69" s="157"/>
      <c r="C69" s="159"/>
    </row>
    <row r="70" spans="1:3" ht="16.2" thickBot="1">
      <c r="A70" s="93" t="s">
        <v>1215</v>
      </c>
      <c r="B70" s="103" t="s">
        <v>1205</v>
      </c>
      <c r="C70" s="102">
        <v>1590</v>
      </c>
    </row>
    <row r="71" spans="1:3" ht="15" thickBot="1">
      <c r="A71" s="147" t="s">
        <v>1317</v>
      </c>
      <c r="B71" s="148"/>
      <c r="C71" s="149"/>
    </row>
    <row r="72" spans="1:3" ht="16.2" thickBot="1">
      <c r="A72" s="93" t="s">
        <v>1216</v>
      </c>
      <c r="B72" s="103" t="s">
        <v>1205</v>
      </c>
      <c r="C72" s="98">
        <v>2299466.9300000002</v>
      </c>
    </row>
    <row r="73" spans="1:3" ht="16.2" thickBot="1">
      <c r="A73" s="93" t="s">
        <v>1217</v>
      </c>
      <c r="B73" s="103" t="s">
        <v>1205</v>
      </c>
      <c r="C73" s="98">
        <v>1372103.5</v>
      </c>
    </row>
    <row r="74" spans="1:3" ht="16.2" thickBot="1">
      <c r="A74" s="93" t="s">
        <v>1218</v>
      </c>
      <c r="B74" s="103" t="s">
        <v>1205</v>
      </c>
      <c r="C74" s="98">
        <v>2029666.1</v>
      </c>
    </row>
    <row r="75" spans="1:3" ht="16.2" thickBot="1">
      <c r="A75" s="93" t="s">
        <v>1219</v>
      </c>
      <c r="B75" s="103" t="s">
        <v>1205</v>
      </c>
      <c r="C75" s="98">
        <v>984281.59999999998</v>
      </c>
    </row>
    <row r="76" spans="1:3" ht="16.2" thickBot="1">
      <c r="A76" s="93" t="s">
        <v>1220</v>
      </c>
      <c r="B76" s="99">
        <v>2179782.13</v>
      </c>
      <c r="C76" s="93" t="s">
        <v>1205</v>
      </c>
    </row>
    <row r="77" spans="1:3" ht="15" thickBot="1">
      <c r="A77" s="93" t="s">
        <v>1221</v>
      </c>
      <c r="B77" s="103"/>
      <c r="C77" s="98">
        <v>1332314.5</v>
      </c>
    </row>
    <row r="78" spans="1:3" ht="15" thickBot="1">
      <c r="A78" s="104" t="s">
        <v>1222</v>
      </c>
      <c r="B78" s="103"/>
      <c r="C78" s="98">
        <v>2357290</v>
      </c>
    </row>
    <row r="79" spans="1:3" ht="16.2" thickBot="1">
      <c r="A79" s="100"/>
    </row>
    <row r="80" spans="1:3" ht="20.25" customHeight="1">
      <c r="A80" s="150" t="s">
        <v>1223</v>
      </c>
      <c r="B80" s="151"/>
      <c r="C80" s="152"/>
    </row>
    <row r="81" spans="1:3" ht="15.75" customHeight="1" thickBot="1">
      <c r="A81" s="153" t="s">
        <v>1199</v>
      </c>
      <c r="B81" s="154"/>
      <c r="C81" s="155"/>
    </row>
    <row r="82" spans="1:3" ht="16.2" thickBot="1">
      <c r="A82" s="144" t="s">
        <v>1224</v>
      </c>
      <c r="B82" s="145"/>
      <c r="C82" s="146"/>
    </row>
    <row r="83" spans="1:3" ht="15" thickBot="1">
      <c r="A83" s="93" t="s">
        <v>1225</v>
      </c>
      <c r="B83" s="95" t="s">
        <v>1226</v>
      </c>
      <c r="C83" s="95" t="s">
        <v>1227</v>
      </c>
    </row>
    <row r="84" spans="1:3" ht="15" thickBot="1">
      <c r="A84" s="93" t="s">
        <v>1228</v>
      </c>
      <c r="B84" s="95" t="s">
        <v>1229</v>
      </c>
      <c r="C84" s="95" t="s">
        <v>1230</v>
      </c>
    </row>
    <row r="85" spans="1:3" ht="15" thickBot="1">
      <c r="A85" s="93" t="s">
        <v>1231</v>
      </c>
      <c r="B85" s="95" t="s">
        <v>1226</v>
      </c>
      <c r="C85" s="95" t="s">
        <v>1232</v>
      </c>
    </row>
    <row r="86" spans="1:3" ht="15" thickBot="1">
      <c r="A86" s="93" t="s">
        <v>1233</v>
      </c>
      <c r="B86" s="95" t="s">
        <v>1226</v>
      </c>
      <c r="C86" s="95" t="s">
        <v>1234</v>
      </c>
    </row>
    <row r="87" spans="1:3" ht="15" thickBot="1">
      <c r="A87" s="93" t="s">
        <v>1235</v>
      </c>
      <c r="B87" s="95" t="s">
        <v>1226</v>
      </c>
      <c r="C87" s="95" t="s">
        <v>1236</v>
      </c>
    </row>
    <row r="88" spans="1:3" ht="15" thickBot="1">
      <c r="A88" s="93" t="s">
        <v>1237</v>
      </c>
      <c r="B88" s="95" t="s">
        <v>1226</v>
      </c>
      <c r="C88" s="95" t="s">
        <v>1238</v>
      </c>
    </row>
    <row r="89" spans="1:3" ht="15" thickBot="1">
      <c r="A89" s="93" t="s">
        <v>1239</v>
      </c>
      <c r="B89" s="95" t="s">
        <v>1226</v>
      </c>
      <c r="C89" s="95" t="s">
        <v>1240</v>
      </c>
    </row>
    <row r="90" spans="1:3" ht="15" thickBot="1">
      <c r="A90" s="93" t="s">
        <v>1241</v>
      </c>
      <c r="B90" s="95" t="s">
        <v>1226</v>
      </c>
      <c r="C90" s="95" t="s">
        <v>1242</v>
      </c>
    </row>
    <row r="91" spans="1:3" ht="15" thickBot="1">
      <c r="A91" s="93" t="s">
        <v>1243</v>
      </c>
      <c r="B91" s="95" t="s">
        <v>1226</v>
      </c>
      <c r="C91" s="95" t="s">
        <v>1244</v>
      </c>
    </row>
    <row r="92" spans="1:3" ht="15" thickBot="1">
      <c r="A92" s="93" t="s">
        <v>1245</v>
      </c>
      <c r="B92" s="95" t="s">
        <v>1226</v>
      </c>
      <c r="C92" s="95" t="s">
        <v>1246</v>
      </c>
    </row>
    <row r="93" spans="1:3" ht="15" thickBot="1">
      <c r="A93" s="93" t="s">
        <v>1225</v>
      </c>
      <c r="B93" s="95" t="s">
        <v>1226</v>
      </c>
      <c r="C93" s="95" t="s">
        <v>1227</v>
      </c>
    </row>
    <row r="94" spans="1:3" ht="15" thickBot="1">
      <c r="A94" s="93" t="s">
        <v>1228</v>
      </c>
      <c r="B94" s="95" t="s">
        <v>1226</v>
      </c>
      <c r="C94" s="95" t="s">
        <v>1230</v>
      </c>
    </row>
    <row r="95" spans="1:3" ht="16.2" thickBot="1">
      <c r="A95" s="144" t="s">
        <v>1247</v>
      </c>
      <c r="B95" s="145"/>
      <c r="C95" s="146"/>
    </row>
    <row r="96" spans="1:3" ht="15" thickBot="1">
      <c r="A96" s="93" t="s">
        <v>1248</v>
      </c>
      <c r="B96" s="95" t="s">
        <v>1226</v>
      </c>
      <c r="C96" s="95" t="s">
        <v>1249</v>
      </c>
    </row>
    <row r="97" spans="1:3" ht="15" thickBot="1">
      <c r="A97" s="93" t="s">
        <v>1250</v>
      </c>
      <c r="B97" s="95" t="s">
        <v>1226</v>
      </c>
      <c r="C97" s="95" t="s">
        <v>1251</v>
      </c>
    </row>
    <row r="98" spans="1:3" ht="15" thickBot="1">
      <c r="A98" s="93" t="s">
        <v>1252</v>
      </c>
      <c r="B98" s="95" t="s">
        <v>1226</v>
      </c>
      <c r="C98" s="95" t="s">
        <v>1253</v>
      </c>
    </row>
    <row r="99" spans="1:3" ht="15" thickBot="1">
      <c r="A99" s="93" t="s">
        <v>1254</v>
      </c>
      <c r="B99" s="95" t="s">
        <v>1226</v>
      </c>
      <c r="C99" s="95" t="s">
        <v>1255</v>
      </c>
    </row>
    <row r="100" spans="1:3" ht="15" thickBot="1">
      <c r="A100" s="93" t="s">
        <v>1256</v>
      </c>
      <c r="B100" s="95" t="s">
        <v>1226</v>
      </c>
      <c r="C100" s="95" t="s">
        <v>1257</v>
      </c>
    </row>
    <row r="101" spans="1:3" ht="15" thickBot="1">
      <c r="A101" s="93" t="s">
        <v>1258</v>
      </c>
      <c r="B101" s="95" t="s">
        <v>1226</v>
      </c>
      <c r="C101" s="95" t="s">
        <v>1259</v>
      </c>
    </row>
    <row r="102" spans="1:3" ht="15" thickBot="1">
      <c r="A102" s="93" t="s">
        <v>1260</v>
      </c>
      <c r="B102" s="95" t="s">
        <v>1226</v>
      </c>
      <c r="C102" s="95" t="s">
        <v>1261</v>
      </c>
    </row>
    <row r="103" spans="1:3" ht="15" thickBot="1">
      <c r="A103" s="93" t="s">
        <v>1262</v>
      </c>
      <c r="B103" s="95" t="s">
        <v>1226</v>
      </c>
      <c r="C103" s="95" t="s">
        <v>1263</v>
      </c>
    </row>
    <row r="104" spans="1:3" ht="16.2" thickBot="1">
      <c r="A104" s="144" t="s">
        <v>1264</v>
      </c>
      <c r="B104" s="145"/>
      <c r="C104" s="146"/>
    </row>
    <row r="105" spans="1:3" ht="15" thickBot="1">
      <c r="A105" s="93" t="s">
        <v>1265</v>
      </c>
      <c r="B105" s="95" t="s">
        <v>1226</v>
      </c>
      <c r="C105" s="95" t="s">
        <v>1266</v>
      </c>
    </row>
    <row r="106" spans="1:3" ht="15" thickBot="1">
      <c r="A106" s="93" t="s">
        <v>1267</v>
      </c>
      <c r="B106" s="95" t="s">
        <v>1226</v>
      </c>
      <c r="C106" s="95" t="s">
        <v>1268</v>
      </c>
    </row>
    <row r="107" spans="1:3" ht="15" thickBot="1">
      <c r="A107" s="93" t="s">
        <v>1269</v>
      </c>
      <c r="B107" s="95" t="s">
        <v>1226</v>
      </c>
      <c r="C107" s="95" t="s">
        <v>1270</v>
      </c>
    </row>
    <row r="108" spans="1:3" ht="15" thickBot="1">
      <c r="A108" s="93" t="s">
        <v>1271</v>
      </c>
      <c r="B108" s="95" t="s">
        <v>1226</v>
      </c>
      <c r="C108" s="95" t="s">
        <v>1272</v>
      </c>
    </row>
    <row r="109" spans="1:3" ht="15" thickBot="1">
      <c r="A109" s="93" t="s">
        <v>1273</v>
      </c>
      <c r="B109" s="95" t="s">
        <v>1226</v>
      </c>
      <c r="C109" s="95" t="s">
        <v>1274</v>
      </c>
    </row>
    <row r="110" spans="1:3" ht="15" thickBot="1">
      <c r="A110" s="93" t="s">
        <v>1275</v>
      </c>
      <c r="B110" s="95" t="s">
        <v>1226</v>
      </c>
      <c r="C110" s="95" t="s">
        <v>1276</v>
      </c>
    </row>
    <row r="111" spans="1:3" ht="15" thickBot="1">
      <c r="A111" s="93" t="s">
        <v>1277</v>
      </c>
      <c r="B111" s="95" t="s">
        <v>1226</v>
      </c>
      <c r="C111" s="95" t="s">
        <v>1278</v>
      </c>
    </row>
    <row r="112" spans="1:3" ht="15" thickBot="1">
      <c r="A112" s="93" t="s">
        <v>1279</v>
      </c>
      <c r="B112" s="95" t="s">
        <v>1226</v>
      </c>
      <c r="C112" s="95" t="s">
        <v>1280</v>
      </c>
    </row>
    <row r="113" spans="1:3" ht="15" thickBot="1">
      <c r="A113" s="93" t="s">
        <v>1281</v>
      </c>
      <c r="B113" s="95" t="s">
        <v>1226</v>
      </c>
      <c r="C113" s="95" t="s">
        <v>1282</v>
      </c>
    </row>
    <row r="114" spans="1:3" ht="15" thickBot="1">
      <c r="A114" s="93" t="s">
        <v>1265</v>
      </c>
      <c r="B114" s="95" t="s">
        <v>1226</v>
      </c>
      <c r="C114" s="95" t="s">
        <v>1266</v>
      </c>
    </row>
    <row r="115" spans="1:3" ht="16.2" thickBot="1">
      <c r="A115" s="144" t="s">
        <v>1283</v>
      </c>
      <c r="B115" s="145"/>
      <c r="C115" s="146"/>
    </row>
    <row r="116" spans="1:3" ht="15" thickBot="1">
      <c r="A116" s="93" t="s">
        <v>1284</v>
      </c>
      <c r="B116" s="95" t="s">
        <v>1226</v>
      </c>
      <c r="C116" s="95" t="s">
        <v>1285</v>
      </c>
    </row>
    <row r="117" spans="1:3" ht="15" thickBot="1">
      <c r="A117" s="93" t="s">
        <v>1286</v>
      </c>
      <c r="B117" s="95" t="s">
        <v>1226</v>
      </c>
      <c r="C117" s="95" t="s">
        <v>1287</v>
      </c>
    </row>
    <row r="118" spans="1:3" ht="16.2" thickBot="1">
      <c r="A118" s="144" t="s">
        <v>1288</v>
      </c>
      <c r="B118" s="145"/>
      <c r="C118" s="146"/>
    </row>
    <row r="119" spans="1:3" ht="15" thickBot="1">
      <c r="A119" s="93" t="s">
        <v>1289</v>
      </c>
      <c r="B119" s="95" t="s">
        <v>1226</v>
      </c>
      <c r="C119" s="95" t="s">
        <v>1290</v>
      </c>
    </row>
    <row r="120" spans="1:3" ht="15" thickBot="1">
      <c r="A120" s="93" t="s">
        <v>1291</v>
      </c>
      <c r="B120" s="105" t="s">
        <v>1226</v>
      </c>
      <c r="C120" s="95" t="s">
        <v>1292</v>
      </c>
    </row>
    <row r="121" spans="1:3" ht="15" thickBot="1">
      <c r="A121" s="93" t="s">
        <v>1293</v>
      </c>
      <c r="B121" s="105" t="s">
        <v>1226</v>
      </c>
      <c r="C121" s="95" t="s">
        <v>1294</v>
      </c>
    </row>
    <row r="122" spans="1:3" ht="15" thickBot="1">
      <c r="A122" s="93" t="s">
        <v>1295</v>
      </c>
      <c r="B122" s="105" t="s">
        <v>1226</v>
      </c>
      <c r="C122" s="95" t="s">
        <v>1296</v>
      </c>
    </row>
    <row r="123" spans="1:3" ht="15" thickBot="1">
      <c r="A123" s="93" t="s">
        <v>1297</v>
      </c>
      <c r="B123" s="105" t="s">
        <v>1226</v>
      </c>
      <c r="C123" s="95" t="s">
        <v>1298</v>
      </c>
    </row>
    <row r="124" spans="1:3" ht="15" thickBot="1">
      <c r="A124" s="93" t="s">
        <v>1299</v>
      </c>
      <c r="B124" s="105" t="s">
        <v>1226</v>
      </c>
      <c r="C124" s="95" t="s">
        <v>1300</v>
      </c>
    </row>
  </sheetData>
  <mergeCells count="11">
    <mergeCell ref="A1:C1"/>
    <mergeCell ref="A71:C71"/>
    <mergeCell ref="A80:C80"/>
    <mergeCell ref="A81:C81"/>
    <mergeCell ref="B68:B69"/>
    <mergeCell ref="C68:C69"/>
    <mergeCell ref="A82:C82"/>
    <mergeCell ref="A95:C95"/>
    <mergeCell ref="A104:C104"/>
    <mergeCell ref="A115:C115"/>
    <mergeCell ref="A118:C1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13</vt:i4>
      </vt:variant>
    </vt:vector>
  </HeadingPairs>
  <TitlesOfParts>
    <vt:vector size="19" baseType="lpstr">
      <vt:lpstr>EQUIPOS INDISPONIBLES SE</vt:lpstr>
      <vt:lpstr>MATERIAL  POR ACTIVIDAD</vt:lpstr>
      <vt:lpstr>LISTA</vt:lpstr>
      <vt:lpstr>FAMILIAS</vt:lpstr>
      <vt:lpstr>PRECIOS</vt:lpstr>
      <vt:lpstr>Hoja2</vt:lpstr>
      <vt:lpstr>BANCODECONDESADORES</vt:lpstr>
      <vt:lpstr>COMPONENTES</vt:lpstr>
      <vt:lpstr>CONDUCTOR</vt:lpstr>
      <vt:lpstr>CONECTOR</vt:lpstr>
      <vt:lpstr>ESTATUS</vt:lpstr>
      <vt:lpstr>FAMILIAS</vt:lpstr>
      <vt:lpstr>HERRAJE</vt:lpstr>
      <vt:lpstr>REGION</vt:lpstr>
      <vt:lpstr>TENSIONCIRCUITO</vt:lpstr>
      <vt:lpstr>TENSIONSUBESTACION</vt:lpstr>
      <vt:lpstr>TIPORESTRICCIONES</vt:lpstr>
      <vt:lpstr>TRANSFORMADORESDEPOTENCIA</vt:lpstr>
      <vt:lpstr>UNIDAD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GIGABYTE</cp:lastModifiedBy>
  <dcterms:created xsi:type="dcterms:W3CDTF">2022-01-26T19:52:41Z</dcterms:created>
  <dcterms:modified xsi:type="dcterms:W3CDTF">2026-09-21T17:10:04Z</dcterms:modified>
</cp:coreProperties>
</file>