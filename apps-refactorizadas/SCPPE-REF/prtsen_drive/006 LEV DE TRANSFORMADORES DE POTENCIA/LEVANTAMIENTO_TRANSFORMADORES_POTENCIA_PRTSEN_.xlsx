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DISTRIBUCION 2024\PRTSEN\PRTSENDISTRIBUCION\PRESENTACION PRTSEN\PRT FICHA DIAGNOSTICOS\"/>
    </mc:Choice>
  </mc:AlternateContent>
  <bookViews>
    <workbookView xWindow="0" yWindow="0" windowWidth="23040" windowHeight="7980" activeTab="1"/>
  </bookViews>
  <sheets>
    <sheet name="Hoja2" sheetId="6" r:id="rId1"/>
    <sheet name="INFO SOBRE SUB ESTACIONES Y TRX" sheetId="1" r:id="rId2"/>
    <sheet name="SE TRX 10 MVA" sheetId="4" r:id="rId3"/>
    <sheet name="PROYECTOSPRTSEN" sheetId="5" r:id="rId4"/>
  </sheets>
  <externalReferences>
    <externalReference r:id="rId5"/>
    <externalReference r:id="rId6"/>
    <externalReference r:id="rId7"/>
  </externalReferences>
  <definedNames>
    <definedName name="_xlnm._FilterDatabase" localSheetId="1" hidden="1">'INFO SOBRE SUB ESTACIONES Y TRX'!$A$1:$S$624</definedName>
    <definedName name="_xlnm._FilterDatabase" localSheetId="2" hidden="1">'SE TRX 10 MVA'!$A$1:$L$1</definedName>
    <definedName name="_xlcn.WorksheetConnection_INFOSOBRESUBESTACIONESYTRXAM" hidden="1">'INFO SOBRE SUB ESTACIONES Y TRX'!$A:$M</definedName>
    <definedName name="calibreconductor">[1]tblListas!$I$2:$I$171</definedName>
    <definedName name="COMPONENTES">[2]SELECCION!$AE$2:$AE$21</definedName>
    <definedName name="ESTADO">[2]SELECCION!$A$2:$A$25</definedName>
    <definedName name="ESTADO2">[3]Hoja1!$A$2:$A$27</definedName>
    <definedName name="FAMILIAS">[2]SELECCION!$Z$2:$Z$19</definedName>
    <definedName name="FUSIBLES">#REF!</definedName>
    <definedName name="Medida">[2]SELECCION!$AB$2:$AB$15</definedName>
    <definedName name="NOMBRECS">[2]SELECCION!$I$2:$I$102</definedName>
    <definedName name="TENSIONCIRCUITO">[2]SELECCION!$C$2:$C$14</definedName>
    <definedName name="TENSIONSEDIST">[2]SELECCION!$F$2:$F$13</definedName>
    <definedName name="TENSIONSUBESTACION">[2]SELECCION!$D$2:$D$15</definedName>
    <definedName name="TIPORESTRICCIONES">[2]SELECCION!$N$2:$N$11</definedName>
  </definedNames>
  <calcPr calcId="162913"/>
  <pivotCaches>
    <pivotCache cacheId="0"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INFO SOBRE SUB ESTACIONES Y TRX!$A:$M"/>
        </x15:modelTables>
      </x15:dataModel>
    </ext>
  </extLst>
</workbook>
</file>

<file path=xl/calcChain.xml><?xml version="1.0" encoding="utf-8"?>
<calcChain xmlns="http://schemas.openxmlformats.org/spreadsheetml/2006/main">
  <c r="F624" i="1" l="1"/>
  <c r="F623" i="1"/>
  <c r="F622" i="1"/>
  <c r="F621" i="1"/>
  <c r="F620" i="1"/>
  <c r="F619" i="1"/>
  <c r="F618" i="1"/>
  <c r="F617" i="1"/>
  <c r="F616" i="1"/>
  <c r="F614" i="1"/>
  <c r="F613" i="1"/>
  <c r="F611" i="1"/>
  <c r="F610" i="1"/>
  <c r="F609" i="1"/>
  <c r="F608" i="1"/>
  <c r="F607" i="1"/>
  <c r="F606" i="1"/>
  <c r="F605" i="1"/>
  <c r="F602" i="1"/>
  <c r="F601" i="1"/>
  <c r="F600" i="1"/>
  <c r="F599" i="1"/>
  <c r="F598" i="1"/>
  <c r="F597" i="1"/>
  <c r="F596" i="1"/>
  <c r="F595" i="1"/>
  <c r="F594" i="1"/>
  <c r="I6" i="6" l="1"/>
  <c r="I7" i="6"/>
  <c r="I8" i="6"/>
  <c r="I9" i="6"/>
  <c r="I10" i="6"/>
  <c r="I11" i="6"/>
  <c r="I12" i="6"/>
  <c r="I13" i="6"/>
  <c r="I14" i="6"/>
  <c r="I15" i="6"/>
  <c r="I16" i="6"/>
  <c r="I17" i="6"/>
  <c r="I18" i="6"/>
  <c r="I19" i="6"/>
  <c r="I20" i="6"/>
  <c r="I21" i="6"/>
  <c r="I22" i="6"/>
  <c r="I23" i="6"/>
  <c r="I24" i="6"/>
  <c r="I25" i="6"/>
  <c r="I26" i="6"/>
  <c r="I27" i="6"/>
  <c r="I28" i="6"/>
  <c r="I5" i="6"/>
  <c r="F593" i="1" l="1"/>
  <c r="F592" i="1"/>
  <c r="F591" i="1"/>
  <c r="F590" i="1"/>
  <c r="F589" i="1"/>
  <c r="F588" i="1"/>
  <c r="F587" i="1"/>
  <c r="F586" i="1"/>
  <c r="F585" i="1"/>
  <c r="F584" i="1"/>
  <c r="F583" i="1"/>
  <c r="F582" i="1"/>
  <c r="F497" i="1" l="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alcChain>
</file>

<file path=xl/comments1.xml><?xml version="1.0" encoding="utf-8"?>
<comments xmlns="http://schemas.openxmlformats.org/spreadsheetml/2006/main">
  <authors>
    <author>Ing. José Coraspe Corporelec</author>
    <author>js007</author>
  </authors>
  <commentList>
    <comment ref="H50" authorId="0" shapeId="0">
      <text>
        <r>
          <rPr>
            <b/>
            <sz val="9"/>
            <color indexed="81"/>
            <rFont val="Tahoma"/>
            <family val="2"/>
          </rPr>
          <t>Ing. José Coraspe Corporelec:</t>
        </r>
        <r>
          <rPr>
            <sz val="9"/>
            <color indexed="81"/>
            <rFont val="Tahoma"/>
            <family val="2"/>
          </rPr>
          <t xml:space="preserve">
El otro equipo similar a este, en condiciones reparables fue trasladado a puerto la cruz (reparado e instalado). Actualmente solo queda 1x7.5 MVA reparable</t>
        </r>
      </text>
    </comment>
    <comment ref="L631" authorId="1" shapeId="0">
      <text>
        <r>
          <rPr>
            <sz val="8"/>
            <color indexed="81"/>
            <rFont val="Tahoma"/>
            <family val="2"/>
          </rPr>
          <t xml:space="preserve">1 , FIJO 
1, MÓVIL
</t>
        </r>
      </text>
    </comment>
    <comment ref="K637" authorId="1" shapeId="0">
      <text>
        <r>
          <rPr>
            <sz val="8"/>
            <color indexed="81"/>
            <rFont val="Tahoma"/>
            <family val="2"/>
          </rPr>
          <t xml:space="preserve">1. OPERATIVO
1.- NO OPERATIVO
</t>
        </r>
      </text>
    </comment>
  </commentList>
</comments>
</file>

<file path=xl/connections.xml><?xml version="1.0" encoding="utf-8"?>
<connections xmlns="http://schemas.openxmlformats.org/spreadsheetml/2006/main">
  <connection id="1"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INFO SOBRE SUB ESTACIONES Y TRX!$A:$M" type="102" refreshedVersion="6" minRefreshableVersion="5">
    <extLst>
      <ext xmlns:x15="http://schemas.microsoft.com/office/spreadsheetml/2010/11/main" uri="{DE250136-89BD-433C-8126-D09CA5730AF9}">
        <x15:connection id="Rango" autoDelete="1">
          <x15:rangePr sourceName="_xlcn.WorksheetConnection_INFOSOBRESUBESTACIONESYTRXAM"/>
        </x15:connection>
      </ext>
    </extLst>
  </connection>
</connections>
</file>

<file path=xl/sharedStrings.xml><?xml version="1.0" encoding="utf-8"?>
<sst xmlns="http://schemas.openxmlformats.org/spreadsheetml/2006/main" count="6808" uniqueCount="1327">
  <si>
    <t>REGION</t>
  </si>
  <si>
    <t>ESTADO</t>
  </si>
  <si>
    <t>SUBESTACION</t>
  </si>
  <si>
    <t>ESTADO-SUBESTACION</t>
  </si>
  <si>
    <t>NIVEL DE TENSIÓN ENTRADA kV</t>
  </si>
  <si>
    <t>ORIENTE</t>
  </si>
  <si>
    <t>ANZOATEGUI</t>
  </si>
  <si>
    <t>ARAGUA DE BARCELONA</t>
  </si>
  <si>
    <t>ATAPIRIRE</t>
  </si>
  <si>
    <t>BANDA CIUDADANA</t>
  </si>
  <si>
    <t>BOCA DE TIGRE</t>
  </si>
  <si>
    <t>BOCA DE UCHIRE</t>
  </si>
  <si>
    <t>CAIGUA</t>
  </si>
  <si>
    <t>CANTAURA</t>
  </si>
  <si>
    <t>CANTORES</t>
  </si>
  <si>
    <t>CRUZ VERDE</t>
  </si>
  <si>
    <t>EL CHAPARRO</t>
  </si>
  <si>
    <t>EL RINCON</t>
  </si>
  <si>
    <t>GUANAPE</t>
  </si>
  <si>
    <t>GUANIPA</t>
  </si>
  <si>
    <t>JESUS SUBERO</t>
  </si>
  <si>
    <t>MARACUAL</t>
  </si>
  <si>
    <t>MONTE VERDE</t>
  </si>
  <si>
    <t>MOVIL ARAGUA DE BARCELONA</t>
  </si>
  <si>
    <t>MOVIL DE SAN MATEO</t>
  </si>
  <si>
    <t>PARIAGUAN</t>
  </si>
  <si>
    <t>SAN JOSE DE GUARIBE</t>
  </si>
  <si>
    <t>SAN MATEO</t>
  </si>
  <si>
    <t>SANTA ANA</t>
  </si>
  <si>
    <t>SANTA FE</t>
  </si>
  <si>
    <t>TAPAS CORONAS</t>
  </si>
  <si>
    <t>VALLE GUANAPE</t>
  </si>
  <si>
    <t>VIÑEDO</t>
  </si>
  <si>
    <t>BALISAJE</t>
  </si>
  <si>
    <t>LEMM</t>
  </si>
  <si>
    <t>MARIPA</t>
  </si>
  <si>
    <t>PLANTA</t>
  </si>
  <si>
    <t>MANAMO I</t>
  </si>
  <si>
    <t>AGUA VIVA</t>
  </si>
  <si>
    <t>BARRETO</t>
  </si>
  <si>
    <t>CARABALÍ</t>
  </si>
  <si>
    <t>NORTE</t>
  </si>
  <si>
    <t>PLANTA I CARORA</t>
  </si>
  <si>
    <t>CUA</t>
  </si>
  <si>
    <t xml:space="preserve">LA RAIZA </t>
  </si>
  <si>
    <t>CARIPITO REFINERIA 34,5</t>
  </si>
  <si>
    <t>EL PINTO</t>
  </si>
  <si>
    <t>LA PICA</t>
  </si>
  <si>
    <t>LOS POZOS DE SOTILLO</t>
  </si>
  <si>
    <t>SAN MIGUEL</t>
  </si>
  <si>
    <t>LA MOVIL DEL PEÑON</t>
  </si>
  <si>
    <t>RUBIO</t>
  </si>
  <si>
    <t>PLANTA QUIZANDA</t>
  </si>
  <si>
    <t>CAPACIDAD INSTALADA EN LA SUBESTACION (MW)</t>
  </si>
  <si>
    <t xml:space="preserve">CAPACIDAD DEL TRANSFORMADOR EN MVA INSTALADOS </t>
  </si>
  <si>
    <t xml:space="preserve">NOMENCALTURA TRX DE POTENCIA </t>
  </si>
  <si>
    <t>ESPECIFICACIONES TECNICAS DEL TRANSFORMADOR</t>
  </si>
  <si>
    <t>TIENE PROTECION EL TRANSFORMADOR (SI O NO)</t>
  </si>
  <si>
    <t>CONDICION DEL TRANSFORMADOR (OPERATIVO / NO OPERATIVO)</t>
  </si>
  <si>
    <t>TIPO DE TRANSFORMADOR (MOVIL O FIJO)</t>
  </si>
  <si>
    <t>ANZOATEGUI ARAGUA DE BARCELONA</t>
  </si>
  <si>
    <t>ANZOATEGUI ATAPIRIRE</t>
  </si>
  <si>
    <t>ANZOATEGUI BANDA CIUDADANA</t>
  </si>
  <si>
    <t>ANZOATEGUI BOCA DE TIGRE</t>
  </si>
  <si>
    <t>ANZOATEGUI BOCA DE UCHIRE</t>
  </si>
  <si>
    <t>ANZOATEGUI CAIGUA</t>
  </si>
  <si>
    <t>ANZOATEGUI CANTAURA</t>
  </si>
  <si>
    <t>ANZOATEGUI CANTORES</t>
  </si>
  <si>
    <t>ANZOATEGUI CRUZ VERDE</t>
  </si>
  <si>
    <t>ANZOATEGUI EL CHAPARRO</t>
  </si>
  <si>
    <t>ANZOATEGUI EL RINCON</t>
  </si>
  <si>
    <t>ANZOATEGUI GUANAPE</t>
  </si>
  <si>
    <t>ANZOATEGUI GUANIPA</t>
  </si>
  <si>
    <t>ANZOATEGUI JESUS SUBERO</t>
  </si>
  <si>
    <t>ANZOATEGUI MARACUAL</t>
  </si>
  <si>
    <t>ANZOATEGUI MONTE VERDE</t>
  </si>
  <si>
    <t>ANZOATEGUI MOVIL ARAGUA DE BARCELONA</t>
  </si>
  <si>
    <t>ANZOATEGUI MOVIL DE SAN MATEO</t>
  </si>
  <si>
    <t>ANZOATEGUI PARIAGUAN</t>
  </si>
  <si>
    <t>ANZOATEGUI SAN JOSE DE GUARIBE</t>
  </si>
  <si>
    <t>ANZOATEGUI SAN MATEO</t>
  </si>
  <si>
    <t>ANZOATEGUI SANTA ANA</t>
  </si>
  <si>
    <t>ANZOATEGUI SANTA FE</t>
  </si>
  <si>
    <t>ANZOATEGUI TAPAS CORONAS</t>
  </si>
  <si>
    <t>ANZOATEGUI VALLE GUANAPE</t>
  </si>
  <si>
    <t>ANZOATEGUI VIÑEDO</t>
  </si>
  <si>
    <t>Tx</t>
  </si>
  <si>
    <t>RELACION 34,5/13,8 - SERIAL 311479 - CONEXIÓN Dyn5 - MARCA SIEMENS</t>
  </si>
  <si>
    <t>NO</t>
  </si>
  <si>
    <t>OPERATIVO</t>
  </si>
  <si>
    <t>FIJO</t>
  </si>
  <si>
    <t>RELACION 34,5/13,8 - SERIAL 7235059 - CONEXIÓN Dy11 - MARCA PAUWELS TRAFO</t>
  </si>
  <si>
    <t>RELACION 34,5/13,8 - SERIAL 26-1740 - CONEXIÓN Dyn5 - MARCA IEM</t>
  </si>
  <si>
    <t>MOVIL</t>
  </si>
  <si>
    <t>RELACION 34,5/13,8 - SERIAL 7647077 - CONEXIÓN Dyn5 - MARCA PAUWELS</t>
  </si>
  <si>
    <t>Tx1</t>
  </si>
  <si>
    <t>RELACION 34,5/13,8 - SERIAL T984124 - CONEXIÓN Dyn5 - MARCA HYUNDAI</t>
  </si>
  <si>
    <t>Tx2</t>
  </si>
  <si>
    <t>RELACION 34,5/13,8 - SERIAL 2007781 - CONEXIÓN Dyn5 - MARCA ABB</t>
  </si>
  <si>
    <t>RELACION 34,5/13,8 - SERIAL 1910F629 - CONEXIÓN Dy5 - MARCA CAIVET</t>
  </si>
  <si>
    <t>RELACION 34,5/13,8 - SERIAL 311476 - CONEXIÓN Dyn5 - MARCA SIEMENS</t>
  </si>
  <si>
    <t>RELACION 34,5/13,8 - SERIAL 7647100 - CONEXIÓN Dyn5 - MARCA PAUWELS TRAFO</t>
  </si>
  <si>
    <t>RELACION 34,5/13,8 - SERIAL 311498 - CONEXIÓN Dyn5 - MARCA SIEMENS</t>
  </si>
  <si>
    <t>RELACION 34,5/13,8 - SERIAL 2706083 - CONEXIÓN Dyn5 - MARCA BOBINADOS OCCIDENTE</t>
  </si>
  <si>
    <t>RELACION 34,5/13,8 - SERIAL 311474 - CONEXIÓN Dy5 - MARCA SIEMENS</t>
  </si>
  <si>
    <t>RELACION 34,5/13,8 - SERIAL T984097 - CONEXIÓN Dy5 - MARCA HYUNDAI</t>
  </si>
  <si>
    <t>RELACION 34,5/13,8 - SERIAL F000408 - CONEXIÓN Dyn5 - MARCA EAFEC</t>
  </si>
  <si>
    <t>RELACION 34,5/13,8 - SERIAL 722D7031 - CONEXIÓN Dyn5 - MARCA CAIVET</t>
  </si>
  <si>
    <t>RELACION 34,5/13,8 - SERIAL 7647014 - CONEXIÓN Dyn5 - MARCA PAUWELS TRAFO</t>
  </si>
  <si>
    <t>NO OPERATIVO</t>
  </si>
  <si>
    <t>RELACION 34,5/13,8 - SERIAL 2406323 - CONEXIÓN Dyn5 - MARCA CAIVET</t>
  </si>
  <si>
    <t>RELACION 34,5/13,8 - SERIAL 311527 - CONEXIÓN Dyn5 - MARCA SIEMENS</t>
  </si>
  <si>
    <t>RELACION 34,5/13,8 - SERIAL 311489 - CONEXIÓN Dyn5 - MARCA SIEMENS</t>
  </si>
  <si>
    <t>RELACION 34,5/13,8 - SERIAL F000495 - CONEXIÓN Dyn5 - MARCA EFACEC</t>
  </si>
  <si>
    <t>SI</t>
  </si>
  <si>
    <t>RELACION 34,5/13,8 - SERIAL T250887 - CONEXIÓN Dyn5 - MARCA SIEMENS</t>
  </si>
  <si>
    <t>RELACION 34,5/13,8 - SERIAL T984262 - CONEXIÓN Dyn5 - MARCA HYUNDAI</t>
  </si>
  <si>
    <t>RELACION 34,5/13,8 - SERIAL 285274 - CONEXIÓN Dyn5 - MARCA ASEGEW</t>
  </si>
  <si>
    <t>RELACION 34,5/13,8 - SERIAL T984101 - CONEXIÓN Dyn5 - MARCA HYUNDAI</t>
  </si>
  <si>
    <t>RELACION 34,5/13,8 - SERIAL T250551 - CONEXIÓN Dy5 - MARCA SIEMENS</t>
  </si>
  <si>
    <t>RELACION 34,5/13,8 - SERIAL 270677 - CONEXIÓN Dyn5 - MARCA CADETRA</t>
  </si>
  <si>
    <t>RELACION 34,5/13,8 - SERIAL A-3-S-7308 - CONEXIÓN Dyn11 - MARCA WESTINGHOUSE</t>
  </si>
  <si>
    <t>RELACION 34,5/13,8 - SERIAL HBB4538-001T - CONEXIÓN Dy5 - MARCA ABB</t>
  </si>
  <si>
    <t>RELACION 34,5/13,8 - SERIAL 1016096666 - CONEXIÓN Dyn5 - MARCA WEGG</t>
  </si>
  <si>
    <t>RELACION 34,5/13,8 - SERIAL 259303 - CONEXIÓN Dyn11 - MARCA WEG</t>
  </si>
  <si>
    <t>RELACION 34,5/13,8 - SERIAL 25230 - CONEXIÓN Dyn5 - MARCA VASILE</t>
  </si>
  <si>
    <t>CENTRAL</t>
  </si>
  <si>
    <t>YARACUY</t>
  </si>
  <si>
    <t>SABANA DE PARRA</t>
  </si>
  <si>
    <t>YARACUY SABANA DE PARRA</t>
  </si>
  <si>
    <t>KM0133</t>
  </si>
  <si>
    <t>NORMA: IEC-76, TENSIÓN NOMINAL: 34500/13800 V, TIPO DE ENFRIANTE: ONAN, TIPO DE CONEXIÓN: DYN5, FABRICADO EN: 1998, VOLUMEN DE ACEITE: 6200 Lts, Peso Total: 26500 Kg,</t>
  </si>
  <si>
    <t>S/N</t>
  </si>
  <si>
    <t>SERIAL: 1303D095, FABRICACIÓN: 1978, IMPEDANCIA: 6,05, CLASE: *65, ENFRIANTE: ONAN, , GRUPO: DYN5, TENSIÓN NOMINALES: 34500 – 13800 / 7970, ACEITE: 2030 KG, PESO TOTAL: 10900.</t>
  </si>
  <si>
    <t>AMAZONAS</t>
  </si>
  <si>
    <t>APURE</t>
  </si>
  <si>
    <t>ARAGUA</t>
  </si>
  <si>
    <t>BARINAS</t>
  </si>
  <si>
    <t>BOLIVAR</t>
  </si>
  <si>
    <t>CARABOBO</t>
  </si>
  <si>
    <t>COJEDES</t>
  </si>
  <si>
    <t>DELTA AMACURO</t>
  </si>
  <si>
    <t>DISTRITO CAPITAL</t>
  </si>
  <si>
    <t>FALCÓN</t>
  </si>
  <si>
    <t>GUARICO</t>
  </si>
  <si>
    <t>LA GUAIRA</t>
  </si>
  <si>
    <t>LARA</t>
  </si>
  <si>
    <t>MERIDA</t>
  </si>
  <si>
    <t>MIRANDA</t>
  </si>
  <si>
    <t>MONAGAS</t>
  </si>
  <si>
    <t>NUEVA ESPARTA</t>
  </si>
  <si>
    <t>PORTUGUESA</t>
  </si>
  <si>
    <t>SUCRE</t>
  </si>
  <si>
    <t>TRUJILLO</t>
  </si>
  <si>
    <t>ZULIA</t>
  </si>
  <si>
    <t>INSULAR</t>
  </si>
  <si>
    <t>AEROPUERTO</t>
  </si>
  <si>
    <t>NUEVA ESPARTA AEROPUERTO</t>
  </si>
  <si>
    <t>TR-1</t>
  </si>
  <si>
    <t>TRAFO-UNION; DYN11; Z=7.1%;  KVBIL=200/110KV; ANSI C-27; NEMA.  NºSERIE= N335559; PESO TOTAL= 19,90 TON; ICC(seg)= 4seg.;  60HZ</t>
  </si>
  <si>
    <t>TR-2</t>
  </si>
  <si>
    <t>TR2-AER. WEG; NORMA=IEC 60076; 60 HZ; DYN; 15 MVA; SERIAL=1016096704; AÑO FABRICA=2012; 60 HZ; IN=170A</t>
  </si>
  <si>
    <t>ARICAGUA</t>
  </si>
  <si>
    <t>NUEVA ESPARTA ARICAGUA</t>
  </si>
  <si>
    <t>SIEMENS; DYN-11; Z=10.6% SERIAL= 185339</t>
  </si>
  <si>
    <t>BOCA DEL RIO</t>
  </si>
  <si>
    <t>NUEVA ESPARTA BOCA DEL RIO</t>
  </si>
  <si>
    <t>TR1-BDR. SIEMENS; SERIAL=311532; 10 MVA</t>
  </si>
  <si>
    <t>TR1-BDR. MITSUBISHI; SERIAL= 567594; 10 MVA</t>
  </si>
  <si>
    <t>COCHE</t>
  </si>
  <si>
    <t>NUEVA ESPARTA COCHE</t>
  </si>
  <si>
    <t>TRANSFORMADORES INCORPORADO A LA GENERACION DISTRIBUIDA. 480V/13,8 KV</t>
  </si>
  <si>
    <t>TR-3</t>
  </si>
  <si>
    <t>TR-4</t>
  </si>
  <si>
    <t>CONEJEROS</t>
  </si>
  <si>
    <t>NUEVA ESPARTA CONEJEROS</t>
  </si>
  <si>
    <t>TR1-CON. MITSUBISHI 15/20MVA; 34.5/13.8KV; DY11; MODELO CRB-DR; ASI C57-2; Z=6.36%. SERIAL=567597</t>
  </si>
  <si>
    <t>TR2-CON. MITSUBISHI 15/20MVA; 34.5/13.8KV; DY11; MODELO CRB-DR; ASI C57-2; Z=6.32%. SERIAL= 567596</t>
  </si>
  <si>
    <t>EL MANGLILLO</t>
  </si>
  <si>
    <t>NUEVA ESPARTA EL MANGLILLO</t>
  </si>
  <si>
    <t xml:space="preserve">TR2-MGO. 7,5 MVA; 34,5/13,8 KV.; </t>
  </si>
  <si>
    <t>TR1-MGO. 15 MVA; 34,5/14,1 KV.</t>
  </si>
  <si>
    <t>LAS HERNANDEZ</t>
  </si>
  <si>
    <t>NUEVA ESPARTA LAS HERNANDEZ</t>
  </si>
  <si>
    <t xml:space="preserve">TR1-HER. SIEMENS 20/25 MVA; Z=13.07%; DYN11; </t>
  </si>
  <si>
    <t>MORROPO</t>
  </si>
  <si>
    <t>NUEVA ESPARTA MORROPO</t>
  </si>
  <si>
    <t>TR1-MOR. PAUWEL-TRAFO; 20/24 MVA; DYN5; Z=9.96%</t>
  </si>
  <si>
    <t>TR2-MOR. PAUWEL-TRAFO; 20/24 MVA; DYN5; Z=9.98%</t>
  </si>
  <si>
    <t>REGIÓN GUAYANA</t>
  </si>
  <si>
    <t>ALTAMIRA</t>
  </si>
  <si>
    <t>BOLIVAR ALTAMIRA</t>
  </si>
  <si>
    <t>T1</t>
  </si>
  <si>
    <t>WESTINGHOUSE Tipo SL. 34,5/13,8. KV.  Dy1. Año: 1972</t>
  </si>
  <si>
    <t>ANGOSTURITA</t>
  </si>
  <si>
    <t>BOLIVAR ANGOSTURITA</t>
  </si>
  <si>
    <t>Mitsubishi Electric Corp  34,5/13,8. KV Dy1.  ONAN/ONAF. 1976</t>
  </si>
  <si>
    <t>BOLIVAR BALIZAJE</t>
  </si>
  <si>
    <t>N/A</t>
  </si>
  <si>
    <t>no tiene transformador y esta fuera de servicio por no ser necesaria. NO HAY NADA</t>
  </si>
  <si>
    <t>CABELUM</t>
  </si>
  <si>
    <t>BOLIVAR CABELUM</t>
  </si>
  <si>
    <t>SIEMENS. Tipo CKOLM138 . DYn11. ONAN/ONAF 34,5/13,8. KV.  1998</t>
  </si>
  <si>
    <t>CAÑAFISTOLA</t>
  </si>
  <si>
    <t>BOLIVAR CAÑAFISTOLA</t>
  </si>
  <si>
    <t>Pauwels Trafo. Tipo: ORF 20/70.YNd11. 34,5/14,4 kV. Capacidad: 14/20 MVA. ONAN/ONAF.Año: 1988.</t>
  </si>
  <si>
    <t>T2</t>
  </si>
  <si>
    <t>Pauwels Trafo Belgium.YNd11. 34,5/14,4 kV.  ONAN/ONAF.
1994.Nivel de aislamiento: A.T. 170/70, B.T. 95/38.</t>
  </si>
  <si>
    <t>T3</t>
  </si>
  <si>
    <t>Alstom Savoisienne.THGVE 36/20000. YNd11. 34,5/14,4 kV. 14/20 MVA ,ONAN/ONAF.
1966.</t>
  </si>
  <si>
    <t>CIUDAD PIAR</t>
  </si>
  <si>
    <t>BOLIVAR CIUDAD PIAR</t>
  </si>
  <si>
    <t xml:space="preserve">WESTINGHOUSE Tipo SL, 34,5/13,8. KV.  Dy1. </t>
  </si>
  <si>
    <t>WESTINGHOUSE Tipo SL, 34,5/13,8. KV.  Dy1. Año: 1972</t>
  </si>
  <si>
    <t>CURAIMA</t>
  </si>
  <si>
    <t>BOLIVAR CURAIMA</t>
  </si>
  <si>
    <t>no disponible Sin placa</t>
  </si>
  <si>
    <t>EDIFICIO SEDE CORPOELEC</t>
  </si>
  <si>
    <t>BOLIVAR EDIFICIO SEDE CORPOELEC</t>
  </si>
  <si>
    <t>3x0,250</t>
  </si>
  <si>
    <t xml:space="preserve">Caivet Banco de transformadores. Pequeño volumen de aceite Dy11 13,8/0,208 KV </t>
  </si>
  <si>
    <t>Transformado trifasico seco Dy11, 13,8/0,208 KV</t>
  </si>
  <si>
    <t>T4</t>
  </si>
  <si>
    <t>EL DORADO</t>
  </si>
  <si>
    <t>BOLIVAR EL DORADO</t>
  </si>
  <si>
    <t>Siemens Tipo: cKOTM 130 9-09 s/30 Refrigeración: ONAN Año: 2010</t>
  </si>
  <si>
    <t>EL MANTECO</t>
  </si>
  <si>
    <t>BOLIVAR EL MANTECO</t>
  </si>
  <si>
    <t xml:space="preserve">Caivet. Dyn5 , inpedancia 6%. ONAN, 34.5/13.8 KV. 1980. </t>
  </si>
  <si>
    <t>EL PALMAR</t>
  </si>
  <si>
    <t>BOLIVAR EL PALMAR</t>
  </si>
  <si>
    <t>34,5/13,8. KV.</t>
  </si>
  <si>
    <t>EL PAO</t>
  </si>
  <si>
    <t>BOLIVAR EL PAO</t>
  </si>
  <si>
    <t>Acec  Tipo O/A F/A , 34,5/13,8. KV.Año: 1974</t>
  </si>
  <si>
    <t>GUARATARO</t>
  </si>
  <si>
    <t>BOLIVAR GUARATARO</t>
  </si>
  <si>
    <t>CAIVET. Tipo: columna
34,5/13,8 kV, YnD5. Refrigeración: ONAN. 1997</t>
  </si>
  <si>
    <t>GUASIPATI</t>
  </si>
  <si>
    <t>BOLIVAR GUASIPATI</t>
  </si>
  <si>
    <t>Trafo Union. Tipo: DOR 16000/30. 34,5/13,8 kV. ONAN. 1977</t>
  </si>
  <si>
    <t>WEG TIPO 12040906 . Dyn5.ONAN 2012</t>
  </si>
  <si>
    <t>HICOTEOS</t>
  </si>
  <si>
    <t>BOLIVAR HICOTEOS</t>
  </si>
  <si>
    <t>Marca EICA, 34,5/13,8. KV. onan 1999</t>
  </si>
  <si>
    <t>LA QUINA</t>
  </si>
  <si>
    <t>BOLIVAR LA QUINA</t>
  </si>
  <si>
    <t>Trafo Union Tipo: DOR 16000/30. 34,5/13,8. KV.  ONAN Año: 1977</t>
  </si>
  <si>
    <t>LAS BONITAS</t>
  </si>
  <si>
    <t>BOLIVAR LAS BONITAS</t>
  </si>
  <si>
    <t>ARGO. Tipo: TR3182.  34,5/13,8 kV. ONAN. Dyn5 1969.</t>
  </si>
  <si>
    <t>LAS CLARITAS</t>
  </si>
  <si>
    <t>BOLIVAR LAS CLARITAS</t>
  </si>
  <si>
    <t>34.5/13.8 KV No tiene placa</t>
  </si>
  <si>
    <t>34.5/13.8 KV  No tiene placa</t>
  </si>
  <si>
    <t>BOLIVAR LEMM</t>
  </si>
  <si>
    <t>desmantelada por hurtos. NO HAY NADA</t>
  </si>
  <si>
    <t>BOLIVAR MARIPA</t>
  </si>
  <si>
    <t>MARIPA II (Pueblo)</t>
  </si>
  <si>
    <t>BOLIVAR MARIPA II (Pueblo)</t>
  </si>
  <si>
    <t>CAIVET, Tipo: Columna. 34,5/13,8 kV. ONAN. 1997</t>
  </si>
  <si>
    <t>MOITACO</t>
  </si>
  <si>
    <t>BOLIVAR MOITACO</t>
  </si>
  <si>
    <t>CAIVET, Tipo: Columna. 34,5/13,8 kV. ONAN. 1998</t>
  </si>
  <si>
    <t>OMCI</t>
  </si>
  <si>
    <t>BOLIVAR OMCI</t>
  </si>
  <si>
    <t>WESTINGHOUSE. Tipo SL. 33/4.16 kV. DY1</t>
  </si>
  <si>
    <t>PARAGUA</t>
  </si>
  <si>
    <t>BOLIVAR PARAGUA</t>
  </si>
  <si>
    <t xml:space="preserve"> Pauwels Trafo. YNd11. 34,5/14,4 kV. ONAN/ONAF. 1976.</t>
  </si>
  <si>
    <t>Pauwels Trafo. YNd11. 34,5/14,4 kV. ONAN/ONAF. 1988.</t>
  </si>
  <si>
    <t>BOLIVAR PLANTA</t>
  </si>
  <si>
    <t>Pauwels Trafo. Dyn11. 34,5/14,4 kV. ONAN/ONAF. 2003</t>
  </si>
  <si>
    <t>Pauwels Trafo. Dyn11. 34,5/14,4 kV. ONAN/ONAF. 2000</t>
  </si>
  <si>
    <t>Subestacion Movil . 34.5/13.8 KV</t>
  </si>
  <si>
    <t>SABANITA</t>
  </si>
  <si>
    <t>BOLIVAR SABANITA</t>
  </si>
  <si>
    <t>Pauwels Trafo. Dyn11. 34,5/14,4 kV. ONAN/ONAF. 2002</t>
  </si>
  <si>
    <t>SAN PEDRO</t>
  </si>
  <si>
    <t>BOLIVAR SAN PEDRO</t>
  </si>
  <si>
    <t>TRAFO UNION. Tipo: OF - 1257. 34,5/13,8 kV.  ONAN. 1969</t>
  </si>
  <si>
    <t>SANTA BARBARA</t>
  </si>
  <si>
    <t>BOLIVAR SANTA BARBARA</t>
  </si>
  <si>
    <t>Pensilvania refrigeración: OA Dy1</t>
  </si>
  <si>
    <t>SANTA ELENA (GUAIREN)</t>
  </si>
  <si>
    <t>BOLIVAR SANTA ELENA (GUAIREN)</t>
  </si>
  <si>
    <t xml:space="preserve">Hyundai. Tipo: KM-0133 Refrigeración: ONAN 
Dy5 Año: 1998
</t>
  </si>
  <si>
    <t>SANTA ROSALIA</t>
  </si>
  <si>
    <t>BOLIVAR SANTA ROSALIA</t>
  </si>
  <si>
    <t>34.5/13.8 KV Sin placa</t>
  </si>
  <si>
    <t>TOCOMA CONSTRUCCION</t>
  </si>
  <si>
    <t>BOLIVAR TOCOMA CONSTRUCCION</t>
  </si>
  <si>
    <t>SIEMENS SERIAL 185493, NO SE TIENE MAS INFORMACION, EN PROCESO DE ADQUIR LA MISMA</t>
  </si>
  <si>
    <t>SIEMENS SERIAL 185494, NO SE TIENE MAS INFORMACION, EN PROCESO DE ADQUIR LA MISMA</t>
  </si>
  <si>
    <t>TUMEREMO</t>
  </si>
  <si>
    <t>BOLIVAR TUMEREMO</t>
  </si>
  <si>
    <t>HYUNDAI TIPO KM-0133 DYn5 ONAN 1998</t>
  </si>
  <si>
    <t>MITSUBICHI  TIPO NUCLEO DYn11 onan/onaf  2000</t>
  </si>
  <si>
    <t>ORIENTAL</t>
  </si>
  <si>
    <t>AGUASAY</t>
  </si>
  <si>
    <t>MONAGAS AGUASAY</t>
  </si>
  <si>
    <t>TX1</t>
  </si>
  <si>
    <t>Transformador de Potencia Reductor de 34,5/13,8 kV marca Siemens Año: 2006 de  5MVA  Grupo de Conexión: Dyn5 Refrigeración Tipo ONAN Impedancia: 6,93 Peso en kgs: 9270</t>
  </si>
  <si>
    <t>MONAGAS ALTAMIRA</t>
  </si>
  <si>
    <t>Transformador de Potencia Reductor de 34,5/13,8 kV marca Pauwels-Trafo Año: 1979 de  5MVA  Grupo de Conexión: Dyn5 Refrigeración Tipo ONAN Impedancia: 7,06 Peso en kgs: 10550</t>
  </si>
  <si>
    <t>AMANA</t>
  </si>
  <si>
    <t>MONAGAS AMANA</t>
  </si>
  <si>
    <t>Transformador de Potencia Reductor de 34,5/13,8 kV marca Vasile Año: 2010 de  10MVA  Grupo de Conexión: Dyn5 Refrigeración Tipo ONAN Impedancia: 6,36 Peso en kgs: 16600</t>
  </si>
  <si>
    <t>ARAGUA DE MATURIN</t>
  </si>
  <si>
    <t>MONAGAS ARAGUA DE MATURIN</t>
  </si>
  <si>
    <t>Transformador de Potencia Reductor de 34,5/13,8 kV marca Caivet Año: 2008 de  10MVA  Grupo de Conexión: Dyn5 Refrigeración Tipo OA/FA Impedancia: 5,52 Peso en kgs: 6900</t>
  </si>
  <si>
    <t>AREO</t>
  </si>
  <si>
    <t>MONAGAS AREO</t>
  </si>
  <si>
    <t xml:space="preserve">Transformador de Potencia Reductor de 34,5/13,8 kV marca SW Rep Retica Año: 1962 de  2MVA  Grupo de Conexión: Dyn11 Refrigeración Tipo ONAN Impedancia: 6,42 Peso en kgs: </t>
  </si>
  <si>
    <t>BLANQUERO</t>
  </si>
  <si>
    <t>MONAGAS BLANQUERO</t>
  </si>
  <si>
    <t xml:space="preserve">Transformador de Potencia Reductor de 34,5/13,8 kV marca Pauwels-Trafo Año: 1979 de  5MVA  Grupo de Conexión: Dyn5 Refrigeración Tipo ONAN Impedancia:  Peso en kgs: </t>
  </si>
  <si>
    <t>CAICARA</t>
  </si>
  <si>
    <t>MONAGAS CAICARA</t>
  </si>
  <si>
    <t>Transformador de Potencia Reductor de 34,5/13,8 kV marca Mitsubishi Año: 1979 de  20MVA  Grupo de Conexión: Dyn1 Refrigeración Tipo ONAN Impedancia: 7,03 Peso en kgs: 35000</t>
  </si>
  <si>
    <t>CARATAL DEL TIGRE</t>
  </si>
  <si>
    <t>MONAGAS CARATAL DEL TIGRE</t>
  </si>
  <si>
    <t xml:space="preserve">Transformador de Potencia Reductor de 34,5/13,8 kV marca Pauwels-Trafo Año: 1976 de  3MVA  Grupo de Conexión: Dyn5 Refrigeración Tipo ONAN Impedancia:  Peso en kgs: </t>
  </si>
  <si>
    <t>CARIPE</t>
  </si>
  <si>
    <t>MONAGAS CARIPE</t>
  </si>
  <si>
    <t xml:space="preserve">Transformador de Potencia Reductor de 34,5/13,8 kV marca Caivet Año: 2010 de  10MVA  Grupo de Conexión: Dyn5 Refrigeración Tipo  Impedancia:  Peso en kgs: </t>
  </si>
  <si>
    <t>TX2</t>
  </si>
  <si>
    <t>Transformador de Potencia Reductor de 34,5/13,8 kV marca Pauwels-Trafo Año: 1979 de  7,5MVA  Grupo de Conexión: Dyn5 Refrigeración Tipo ONAN Impedancia: 14,3 Peso en kgs: 10,55 T</t>
  </si>
  <si>
    <t>CARIPITO PUEBLO 34,5</t>
  </si>
  <si>
    <t>MONAGAS CARIPITO PUEBLO 34,5</t>
  </si>
  <si>
    <t xml:space="preserve">Transformador de Potencia Reductor de 34,5/13,8 kV marca Vasile Año: 2011 de  10MVA  Grupo de Conexión: Dyn5 Refrigeración Tipo ONAN Impedancia:  Peso en kgs: </t>
  </si>
  <si>
    <t xml:space="preserve">Transformador de Potencia Reductor de 34,5/13,8 kV marca Caivet Año: 1981 de  10MVA  Grupo de Conexión: Dyn5 Refrigeración Tipo ONAN Impedancia:  Peso en kgs: </t>
  </si>
  <si>
    <t>MONAGAS CARIPITO REFINERIA 34,5</t>
  </si>
  <si>
    <t>CHAGUARAMAS</t>
  </si>
  <si>
    <t>MONAGAS CHAGUARAMAS</t>
  </si>
  <si>
    <t>Transformador de Potencia Reductor de 34,5/13,8 kV marca Pauwels-Trafo Año: 1977 de  10MVA  Grupo de Conexión: Dyn5 Refrigeración Tipo  Impedancia:  Peso en kgs: 18000</t>
  </si>
  <si>
    <t>EL FANGAL</t>
  </si>
  <si>
    <t>MONAGAS EL FANGAL</t>
  </si>
  <si>
    <t>Transformador de Potencia Reductor de 34,5/13,8 kV marca Siemens Año: 2010 de  10MVA  Grupo de Conexión: Dyn5 Refrigeración Tipo ONAN Impedancia: 8,96 Peso en kgs: 27032</t>
  </si>
  <si>
    <t>EL FURRIAL</t>
  </si>
  <si>
    <t>MONAGAS EL FURRIAL</t>
  </si>
  <si>
    <t xml:space="preserve">Transformador de Potencia Reductor de 34,5/13,8 kV marca Caivet Año: 1975 de  10MVA  Grupo de Conexión: Dyn5 Refrigeración Tipo ONAN Impedancia:  Peso en kgs: </t>
  </si>
  <si>
    <t>Transformador de Potencia Reductor de 34,5/13,8 kV marca Urutrafo Año: 2015 de  10MVA  Grupo de Conexión: Dyn5 Refrigeración Tipo ONAN Impedancia: 6,25 Peso en kgs: 25300</t>
  </si>
  <si>
    <t>EL PECHÓN</t>
  </si>
  <si>
    <t>MONAGAS EL PECHÓN</t>
  </si>
  <si>
    <t>Transformador de Potencia Reductor de 34,5/13,8 kV marca SW Rep Retica Año: 1962 de  2MVA  Grupo de Conexión: Dy 11 Refrigeración Tipo ONAN Impedancia: 6,26 Peso en kgs: 9400</t>
  </si>
  <si>
    <t>MONAGAS EL PINTO</t>
  </si>
  <si>
    <t>MONAGAS EL RINCON</t>
  </si>
  <si>
    <t>Transformador de Potencia Reductor de 34,5/13,8 kV marca Caivet Año: 2008 de  5MVA  Grupo de Conexión: Dyn5 Refrigeración Tipo ONAN Impedancia: 6,88 Peso en kgs: 13500</t>
  </si>
  <si>
    <t>MONAGAS LA PICA</t>
  </si>
  <si>
    <t>MONAGAS LOS POZOS DE SOTILLO</t>
  </si>
  <si>
    <t xml:space="preserve">Transformador de Potencia Reductor de 34,5/13,8 kV marca Efacec Año: 2010 de  10MVA  Grupo de Conexión: YNd5 Refrigeración Tipo ONANF Impedancia:  Peso en kgs: </t>
  </si>
  <si>
    <t>PASO NUEVO</t>
  </si>
  <si>
    <t>MONAGAS PASO NUEVO</t>
  </si>
  <si>
    <t xml:space="preserve">Transformador de Potencia Reductor de 34,5/13,8 kV marca General Electric Año: 1975 de  5MVA  Grupo de Conexión: Dyn5 Refrigeración Tipo ONAN Impedancia:  Peso en kgs: </t>
  </si>
  <si>
    <t>SAN ANTONIO</t>
  </si>
  <si>
    <t>MONAGAS SAN ANTONIO</t>
  </si>
  <si>
    <t>Transformador de Potencia Reductor de 34,5/13,8 kV marca Pauwels-Trafo Año: 1977 de  5MVA  Grupo de Conexión: Dyn5 Refrigeración Tipo ONAN Impedancia:  Peso en kgs: 10800</t>
  </si>
  <si>
    <t>SAN FELIX DE CAICARA</t>
  </si>
  <si>
    <t>MONAGAS SAN FELIX DE CAICARA</t>
  </si>
  <si>
    <t>MONAGAS SAN MIGUEL</t>
  </si>
  <si>
    <t>SAN RAMON</t>
  </si>
  <si>
    <t>MONAGAS SAN RAMON</t>
  </si>
  <si>
    <t xml:space="preserve">Transformador de Potencia Reductor de 34,5/13,8 kV marca Italtrafo Rep Retica Año: 1981 de  2,65MVA  Grupo de Conexión: Dyn5 Refrigeración Tipo ONAN Impedancia:  Peso en kgs: </t>
  </si>
  <si>
    <t>UNIVERSIDAD</t>
  </si>
  <si>
    <t>MONAGAS UNIVERSIDAD</t>
  </si>
  <si>
    <t xml:space="preserve">Transformador de Potencia Reductor de 34,5/13,8 kV marca Hyunday Año: 2009 de  10MVA  Grupo de Conexión: Dyn5 Refrigeración Tipo ONAN Impedancia:  Peso en kgs: </t>
  </si>
  <si>
    <t>VELADERO</t>
  </si>
  <si>
    <t>MONAGAS VELADERO</t>
  </si>
  <si>
    <t>VIENTO FRESCO</t>
  </si>
  <si>
    <t>MONAGAS VIENTO FRESCO</t>
  </si>
  <si>
    <t xml:space="preserve">Transformador de Potencia Reductor de 34,5/13,8 kV marca Caivet Año: 2007 de  5MVA  Grupo de Conexión: Dyn5 Refrigeración Tipo ONAN Impedancia:  Peso en kgs: </t>
  </si>
  <si>
    <t>GUAYANA</t>
  </si>
  <si>
    <t>EL AMPARO</t>
  </si>
  <si>
    <t>DELTA AMACURO EL AMPARO</t>
  </si>
  <si>
    <t>Trf4</t>
  </si>
  <si>
    <t>TRX TRIFASICO DE POTENCIA DE 10 MVA; TIPO COLUMNAS TENSIONES NOMINALES 34,500-13,800Y/7970, FASES 3; FRECUENCIA 60HZ; ACEITE COVENIN 1128 Enfriamiento ONAM, Grupo Vectorial Dyn5, Nivel de Aislamiento AT 36/200/70-BT:17,5/110/38</t>
  </si>
  <si>
    <t>EL TRIUNFO</t>
  </si>
  <si>
    <t>DELTA AMACURO EL TRIUNFO</t>
  </si>
  <si>
    <t>Trf5</t>
  </si>
  <si>
    <t>Siemens, 10 MVA 3 Fases Conexión Dyn5, Refrigeracion ONAN, Tipo Columnas,Normas IEC/Cadafe</t>
  </si>
  <si>
    <t>DELTA AMACURO MANAMO I</t>
  </si>
  <si>
    <t>Trf 1</t>
  </si>
  <si>
    <t>TRX TRIFASICO DE POTENCIA TIPO COLUMNAS DE 15 MVA, TENSION NOMINAL 34,5/14,1 KV; NUMERO F000462 GRUPO DE CONEXIÓN DYN5, Frecuencia 60 Hz</t>
  </si>
  <si>
    <t xml:space="preserve">MANAMO II </t>
  </si>
  <si>
    <t xml:space="preserve">DELTA AMACURO MANAMO II </t>
  </si>
  <si>
    <t>Trf2</t>
  </si>
  <si>
    <t>TRX DE POTENCIA DE 10 MVA/13,3, NUMERO DE FASES 3, TENSION PRIMARIA KV. 34,5; TENSION SECUNDARIA V. 13800y/7967 CLASE DE AISLAMIENTO Ao, CORRIENTE PRIMARIA A. 167,3/22,5, TENSION CC (ONAN-85ºC)%: 7,43; NIVEL DE AISLAMIENTO PRIM. KV 36; PESO PARTE ACTIVA KG. 10300</t>
  </si>
  <si>
    <t>VOLCAN</t>
  </si>
  <si>
    <t>DELTA AMACURO VOLCAN</t>
  </si>
  <si>
    <t>Trf3</t>
  </si>
  <si>
    <r>
      <t xml:space="preserve"> Electro Tecnica Tx Trifasico 10 MVA, Fases 3, Clase 65ª, Enfriamiento ONAM, Grupo Vectorial Dyn5,Aceite Covenin1129, Tensiones Nominales 34,5</t>
    </r>
    <r>
      <rPr>
        <sz val="11"/>
        <rFont val="Calibri"/>
        <family val="2"/>
      </rPr>
      <t>Δ</t>
    </r>
    <r>
      <rPr>
        <sz val="11"/>
        <rFont val="Calibri"/>
        <family val="2"/>
        <scheme val="minor"/>
      </rPr>
      <t>-2*2,5% -13,8Y/7970</t>
    </r>
  </si>
  <si>
    <t>LOS ANDES</t>
  </si>
  <si>
    <t>AGUA SANTA</t>
  </si>
  <si>
    <t>TRUJILLO AGUA SANTA</t>
  </si>
  <si>
    <t>TX-01</t>
  </si>
  <si>
    <t xml:space="preserve">SIEMENS-DYNS-34,5/13,8-60 HZ-ONAN/ONAF-SERIAL 311494 </t>
  </si>
  <si>
    <t>BOCONO</t>
  </si>
  <si>
    <t>TRUJILLO BOCONO</t>
  </si>
  <si>
    <t>CAIVET-DYNS-34,5/13,8-60 HZ-ONAN/ONAF- SERIAL 30030097</t>
  </si>
  <si>
    <t>CARACHE</t>
  </si>
  <si>
    <t>TRUJILLO CARACHE</t>
  </si>
  <si>
    <t>SIEMENS-DYNS-34,5/13,8-60 HZ-ONAN/ONAF-SERIAL 311499</t>
  </si>
  <si>
    <t>EL JAGUITO</t>
  </si>
  <si>
    <t>TRUJILLO EL JAGUITO</t>
  </si>
  <si>
    <t>CAIVET-DYNS-34,5/13,8-60 HZ-ONAN/ONAF</t>
  </si>
  <si>
    <t>ISNOTU</t>
  </si>
  <si>
    <t>TRUJILLO ISNOTU</t>
  </si>
  <si>
    <t>CAIVET-DYNS-34,5/13,8-60 HZ-ONAN/ONAF- SERIAL 2511515</t>
  </si>
  <si>
    <t>TX-02</t>
  </si>
  <si>
    <t>CAIVET-DYNS-34,5/13,8-60 HZ-ONAN/ONAF- SERIAL 2607649</t>
  </si>
  <si>
    <t xml:space="preserve">JAJO </t>
  </si>
  <si>
    <t xml:space="preserve">TRUJILLO JAJO </t>
  </si>
  <si>
    <t>CAIVET-DYNS-34,5/13,8-60 HZ-ONAN/ONAF- SERIAL 18117132</t>
  </si>
  <si>
    <t>JALISCO</t>
  </si>
  <si>
    <t>TRUJILLO JALISCO</t>
  </si>
  <si>
    <t>HYUNDAI-DYNS-34,5/13,8-60 HZ-ONAN/ONAF- SERIAL 984107</t>
  </si>
  <si>
    <t>JARDIN</t>
  </si>
  <si>
    <t>TRUJILLO JARDIN</t>
  </si>
  <si>
    <t>PAUWELS-TRAFO-DYNS-34,5/13,8-60 HZ-ONAN/ONAF- SERIAL 7647019</t>
  </si>
  <si>
    <t>SIEMENS-DYNS-34,5/13,8-60 HZ-ONAN/ONAF- SERIAL 311516</t>
  </si>
  <si>
    <t>LA CONCEPCION</t>
  </si>
  <si>
    <t>TRUJILLO LA CONCEPCION</t>
  </si>
  <si>
    <t>URU-TRAFO-DYNS-34,5/13,8-60 HZ-ONAN/ONAF - SERIAL A433003</t>
  </si>
  <si>
    <t>URU-TRAFO-DYNS-34,5/13,8-60 HZ-ONAN/ONAF SERIAL A433001</t>
  </si>
  <si>
    <t>LA PUERTA</t>
  </si>
  <si>
    <t>TRUJILLO LA PUERTA</t>
  </si>
  <si>
    <t xml:space="preserve">CAIVET-DYNS-34,5/13,8-60 HZ- ONAN/ONAF- SERIAL 2709131 </t>
  </si>
  <si>
    <t>SABANA MENDOZA</t>
  </si>
  <si>
    <t>TRUJILLO SABANA MENDOZA</t>
  </si>
  <si>
    <t>CAIVET-DYNS-34,5/13,8-60 HZ- ONAN/ONAF</t>
  </si>
  <si>
    <t>SAN JACINTO</t>
  </si>
  <si>
    <t>TRUJILLO SAN JACINTO</t>
  </si>
  <si>
    <t>PAUWELS-TRAFO-DYNS-34,5/13,8-60 HZ- ONAN/ONAF</t>
  </si>
  <si>
    <t>SAN RAFAEL</t>
  </si>
  <si>
    <t>TRUJILLO SAN RAFAEL</t>
  </si>
  <si>
    <t>SIEMENS-DYNS-34,5/13,8-60 HZ-ONAN/ONAF- SERIAL 145878</t>
  </si>
  <si>
    <t>TIMOTES</t>
  </si>
  <si>
    <t>TRUJILLO TIMOTES</t>
  </si>
  <si>
    <t>CAIVET-DYNS-34,5/13,8-60 HZ-ONAN/ONAF - SERIAL 2703067</t>
  </si>
  <si>
    <t>SIEMENS-DYNS-34,5/13,8-60 HZ-ONAN/ONAF - SERIAL 146378</t>
  </si>
  <si>
    <t>VALLE VERDE</t>
  </si>
  <si>
    <t>TRUJILLO VALLE VERDE</t>
  </si>
  <si>
    <t>HYUNDAI-DYNS-34,5/13,8-60 HZ-ONAN/ONAF-SERIAL T984103</t>
  </si>
  <si>
    <t>SIEMENS-DYNS-34,5/13,8-60 HZ-ONAN/ONAF - SERIAL 311515</t>
  </si>
  <si>
    <t>CAPITAL</t>
  </si>
  <si>
    <t>DISTRITO CAPITAL ALTAMIRA</t>
  </si>
  <si>
    <t>Conexión Delta-Delta con desfasaje de cero grado (Dd0)</t>
  </si>
  <si>
    <t>Nivel de tension 30/4,8 kV, Capacidad Nominal de 8,4 - 10,5 MVA con Ventilacion Forzada E Impedancia de 8,85 % en base a 8,4 MVA, Cambiadores de tomas bajo carga en el lado de BT y Cambiador de tomas sin tensión en el lado de AT</t>
  </si>
  <si>
    <t>ANGELES</t>
  </si>
  <si>
    <t>DISTRITO CAPITAL ANGELES</t>
  </si>
  <si>
    <t>Nivel de tension 30/4,8 kV, Capacidad Nominal de 5,6 - 7 MVA con Ventilacion Forzada E Impedancia de 7,90 % en base a 5,6 MVA, Cambiadores de tomas bajo carga en el lado de BT y Cambiador de tomas sin tensión en el lado de AT</t>
  </si>
  <si>
    <t>Nivel de tension 30/4,8 kV, Capacidad Nominal de 5 - 6,25 MVA con Ventilacion Forzada E Impedancia de 6,3 % en base a 5 MVA, Cambiadores de tomas bajo carga en el lado de BT y Cambiador de tomas sin tensión en el lado de AT</t>
  </si>
  <si>
    <t>ARTIGAS</t>
  </si>
  <si>
    <t>DISTRITO CAPITAL ARTIGAS</t>
  </si>
  <si>
    <t>AUTOPISTA</t>
  </si>
  <si>
    <t>DISTRITO CAPITAL AUTOPISTA</t>
  </si>
  <si>
    <t>Nivel de tension 30/4,8 kV, Capacidad Nominal de 5 - 6,25 MVA con Ventilacion Forzada con Impedancia de 6,3 % en base a 5 MVA, Cambiadores de tomas bajo carga en el lado de BT y Cambiador de tomas sin tensión en el lado de AT</t>
  </si>
  <si>
    <t>AVILANES</t>
  </si>
  <si>
    <t>DISTRITO CAPITAL AVILANES</t>
  </si>
  <si>
    <t>BELLA VISTA</t>
  </si>
  <si>
    <t>DISTRITO CAPITAL BELLA VISTA</t>
  </si>
  <si>
    <t>BELLO MONTE</t>
  </si>
  <si>
    <t>DISTRITO CAPITAL BELLO MONTE</t>
  </si>
  <si>
    <t>BOLEITA</t>
  </si>
  <si>
    <t>DISTRITO CAPITAL BOLEITA</t>
  </si>
  <si>
    <t>Nivel de tension 30/4,8 kV, Capacidad Nominal de 3 - 3,75 MVA con Ventilacion Forzada E Impedancia de 7,82 % en base a 3 MVA, Cambiadores de tomas bajo carga en el lado de BT y Cambiador de tomas sin tensión en el lado de AT</t>
  </si>
  <si>
    <t>CAFETAL</t>
  </si>
  <si>
    <t>DISTRITO CAPITAL CAFETAL</t>
  </si>
  <si>
    <t>CAÑADA</t>
  </si>
  <si>
    <t>DISTRITO CAPITAL CAÑADA</t>
  </si>
  <si>
    <t>Conexión Deltra-Estrella con neutro en baja conectado a tierra desfasada con 30 grados en retraso DYn11</t>
  </si>
  <si>
    <t>CAOBOS</t>
  </si>
  <si>
    <t>DISTRITO CAPITAL CAOBOS</t>
  </si>
  <si>
    <t>CASTÁN</t>
  </si>
  <si>
    <t>DISTRITO CAPITAL CASTÁN</t>
  </si>
  <si>
    <t>CATIA</t>
  </si>
  <si>
    <t>DISTRITO CAPITAL CATIA</t>
  </si>
  <si>
    <t>CAURIMARE</t>
  </si>
  <si>
    <t>DISTRITO CAPITAL CAURIMARE</t>
  </si>
  <si>
    <t>CHAGUARAMOS</t>
  </si>
  <si>
    <t>DISTRITO CAPITAL CHAGUARAMOS</t>
  </si>
  <si>
    <t>COLINAS DE SANTA MÓNICA</t>
  </si>
  <si>
    <t>DISTRITO CAPITAL COLINAS DE SANTA MÓNICA</t>
  </si>
  <si>
    <t>COLÓN</t>
  </si>
  <si>
    <t>DISTRITO CAPITAL COLÓN</t>
  </si>
  <si>
    <t>DOS CAMINOS</t>
  </si>
  <si>
    <t>DISTRITO CAPITAL DOS CAMINOS</t>
  </si>
  <si>
    <t>ESCUELA MILITAR</t>
  </si>
  <si>
    <t>DISTRITO CAPITAL ESCUELA MILITAR</t>
  </si>
  <si>
    <t>FLORIDA</t>
  </si>
  <si>
    <t>DISTRITO CAPITAL FLORIDA</t>
  </si>
  <si>
    <t>DISTRITO CAPITAL GUARATARO</t>
  </si>
  <si>
    <t>JUAN MIRANDA</t>
  </si>
  <si>
    <t>DISTRITO CAPITAL JUAN MIRANDA</t>
  </si>
  <si>
    <t>12,47 kV</t>
  </si>
  <si>
    <t>MACARACUAY</t>
  </si>
  <si>
    <t>DISTRITO CAPITAL MACARACUAY</t>
  </si>
  <si>
    <t>MARQUÉS</t>
  </si>
  <si>
    <t>DISTRITO CAPITAL MARQUÉS</t>
  </si>
  <si>
    <t>MAURY</t>
  </si>
  <si>
    <t>DISTRITO CAPITAL MAURY</t>
  </si>
  <si>
    <t>MERCEDES</t>
  </si>
  <si>
    <t>DISTRITO CAPITAL MERCEDES</t>
  </si>
  <si>
    <t>DISTRITO CAPITAL NORTE</t>
  </si>
  <si>
    <t>PALOS GRANDES</t>
  </si>
  <si>
    <t>DISTRITO CAPITAL PALOS GRANDES</t>
  </si>
  <si>
    <t>PETARE</t>
  </si>
  <si>
    <t>DISTRITO CAPITAL PETARE</t>
  </si>
  <si>
    <t>PINAR</t>
  </si>
  <si>
    <t>DISTRITO CAPITAL PINAR</t>
  </si>
  <si>
    <t>PINEDA</t>
  </si>
  <si>
    <t>DISTRITO CAPITAL PINEDA</t>
  </si>
  <si>
    <t>PRADOS DEL ESTE</t>
  </si>
  <si>
    <t>DISTRITO CAPITAL PRADOS DEL ESTE</t>
  </si>
  <si>
    <t>RINCÓN</t>
  </si>
  <si>
    <t>DISTRITO CAPITAL RINCÓN</t>
  </si>
  <si>
    <t>ROSAL</t>
  </si>
  <si>
    <t>DISTRITO CAPITAL ROSAL</t>
  </si>
  <si>
    <t>RUICES</t>
  </si>
  <si>
    <t>DISTRITO CAPITAL RUICES</t>
  </si>
  <si>
    <t>SABANA GRANDE</t>
  </si>
  <si>
    <t>DISTRITO CAPITAL SABANA GRANDE</t>
  </si>
  <si>
    <t>SAN AGUSTÍN</t>
  </si>
  <si>
    <t>DISTRITO CAPITAL SAN AGUSTÍN</t>
  </si>
  <si>
    <t>SAN BERNARDINO</t>
  </si>
  <si>
    <t>DISTRITO CAPITAL SAN BERNARDINO</t>
  </si>
  <si>
    <t>SANTA MÓNICA</t>
  </si>
  <si>
    <t>DISTRITO CAPITAL SANTA MÓNICA</t>
  </si>
  <si>
    <t>SANTA ROSA</t>
  </si>
  <si>
    <t>DISTRITO CAPITAL SANTA ROSA</t>
  </si>
  <si>
    <t>TRINIDAD</t>
  </si>
  <si>
    <t>DISTRITO CAPITAL TRINIDAD</t>
  </si>
  <si>
    <t>TACHIRA</t>
  </si>
  <si>
    <t xml:space="preserve">AGUA DULCE </t>
  </si>
  <si>
    <t xml:space="preserve">TACHIRA AGUA DULCE </t>
  </si>
  <si>
    <t>TRX1</t>
  </si>
  <si>
    <t>MARCA HYUNDAY TENSIÓN ENTRADA 34.5 KV TENSIÓN SALIDA 13.8 KV GRUPO DE CONEXIÓN DYN5 TIPO DE TAP FIJO FRECUENCIA 60 Hz TIPO DE ENFRIAMIENTO ONAN</t>
  </si>
  <si>
    <t>TACHIRA BOCONO</t>
  </si>
  <si>
    <t>MARCA POWER TRANSFOR TENSIÓN ENTRADA 34.5 KV TENSIÓN SALIDA 13.8 KV GRUPO DE CONEXIÓN DYN5 TIPO DE TAP FIJO FRECUENCIA 60 Hz TIPO DE ENFRIAMIENTO ONAN</t>
  </si>
  <si>
    <t>BORDE SECO</t>
  </si>
  <si>
    <t>TACHIRA BORDE SECO</t>
  </si>
  <si>
    <t>CAPACHO</t>
  </si>
  <si>
    <t>TACHIRA CAPACHO</t>
  </si>
  <si>
    <t>MARCA GENERAL ELECTRIC TENSIÓN ENTRADA 34.5 KV TENSIÓN SALIDA 13.8 KV GRUPO DE CONEXIÓN DYN5 TIPO DE TAP FIJO FRECUENCIA 60 Hz TIPO DE ENFRIAMIENTO ONAN</t>
  </si>
  <si>
    <t>CEMENTOS</t>
  </si>
  <si>
    <t>TACHIRA CEMENTOS</t>
  </si>
  <si>
    <t>COLON</t>
  </si>
  <si>
    <t>TACHIRA COLON</t>
  </si>
  <si>
    <t>TRX2</t>
  </si>
  <si>
    <t>MARCA CAIVET TENSIÓN ENTRADA 34.5 KV TENSIÓN SALIDA 13.8 KV GRUPO DE CONEXIÓN DYN5 TIPO DE TAP FIJO FRECUENCIA 60 Hz TIPO DE ENFRIAMIENTO ONAN</t>
  </si>
  <si>
    <t>COLONCITO</t>
  </si>
  <si>
    <t>TACHIRA COLONCITO</t>
  </si>
  <si>
    <t>MARCA SIEMENS TENSIÓN ENTRADA 34.5 KV TENSIÓN SALIDA 13.8 KV GRUPO DE CONEXIÓN DYN5 TIPO DE TAP AUTOMATICO FRECUENCIA 60 Hz TIPO DE ENFRIAMIENTO ONAN</t>
  </si>
  <si>
    <t>EL CANTON</t>
  </si>
  <si>
    <t>TACHIRA EL CANTON</t>
  </si>
  <si>
    <t>MARCA WEG TENSIÓN ENTRADA 34.5 KV TENSIÓN SALIDA 13.8 KV GRUPO DE CONEXIÓN DYN5 TIPO DE TAP AUTOMATICO FRECUENCIA 60 Hz TIPO DE ENFRIAMIENTO ONAN</t>
  </si>
  <si>
    <t>EL PIÑAL</t>
  </si>
  <si>
    <t>TACHIRA EL PIÑAL</t>
  </si>
  <si>
    <t>IAN</t>
  </si>
  <si>
    <t>TACHIRA IAN</t>
  </si>
  <si>
    <t>MARCA POWER TENSIÓN ENTRADA 34.5 KV TENSIÓN SALIDA 13.8 KV GRUPO DE CONEXIÓN DYN5 TIPO DE TAP FIJO FRECUENCIA 60 Hz TIPO DE ENFRIAMIENTO ONAN</t>
  </si>
  <si>
    <t>LA PEDRERA</t>
  </si>
  <si>
    <t>TACHIRA LA PEDRERA</t>
  </si>
  <si>
    <t>LAS CUEVAS</t>
  </si>
  <si>
    <t>TACHIRA LAS CUEVAS</t>
  </si>
  <si>
    <t>MARCA SIEMENS TENSIÓN ENTRADA 34.5 KV TENSIÓN SALIDA 13.8 KV GRUPO DE CONEXIÓN DYN5 TIPO DE TAP FIJO FRECUENCIA 60 Hz TIPO DE ENFRIAMIENTO ONAN</t>
  </si>
  <si>
    <t>OROPE</t>
  </si>
  <si>
    <t>TACHIRA OROPE</t>
  </si>
  <si>
    <t>PALMIRA</t>
  </si>
  <si>
    <t>TACHIRA PALMIRA</t>
  </si>
  <si>
    <t>PARADERO DE BACHI</t>
  </si>
  <si>
    <t>TACHIRA PARADERO DE BACHI</t>
  </si>
  <si>
    <t>PREGONERO</t>
  </si>
  <si>
    <t>TACHIRA PREGONERO</t>
  </si>
  <si>
    <t>TACHIRA RUBIO</t>
  </si>
  <si>
    <t>SAN AGATON</t>
  </si>
  <si>
    <t>TACHIRA SAN AGATON</t>
  </si>
  <si>
    <t>TX</t>
  </si>
  <si>
    <t>TRANSFORMADORES DE DISTRIBUCIÓN</t>
  </si>
  <si>
    <t>SAN DIEGO</t>
  </si>
  <si>
    <t>TACHIRA SAN DIEGO</t>
  </si>
  <si>
    <t>SAN JOAQUIN</t>
  </si>
  <si>
    <t>TACHIRA SAN JOAQUIN</t>
  </si>
  <si>
    <t>TACHIRA SAN PEDRO</t>
  </si>
  <si>
    <t>TACHIRA SANTA ANA</t>
  </si>
  <si>
    <t>SIBERIA</t>
  </si>
  <si>
    <t>TACHIRA SIBERIA</t>
  </si>
  <si>
    <t>UREÑA I</t>
  </si>
  <si>
    <t>TACHIRA UREÑA I</t>
  </si>
  <si>
    <t>UREÑA II</t>
  </si>
  <si>
    <t>TACHIRA UREÑA II</t>
  </si>
  <si>
    <t>ARAYA</t>
  </si>
  <si>
    <t>SUCRE ARAYA</t>
  </si>
  <si>
    <t>TRANSFORMADOR DE POTENCIA TRIFASICO 16 MVA 34,5/13,8 KV, DYn5 60 Hz</t>
  </si>
  <si>
    <t>Trf 2</t>
  </si>
  <si>
    <t>TRANSFORMADOR DE POTENCIA TRIFASICO 10 MVA 34,5/13,8 KV, DYn5 60 Hz</t>
  </si>
  <si>
    <t>CARUPANO III (LA PLANTA)</t>
  </si>
  <si>
    <t>SUCRE CARUPANO III (LA PLANTA)</t>
  </si>
  <si>
    <t>CASANAY</t>
  </si>
  <si>
    <t>SUCRE CASANAY</t>
  </si>
  <si>
    <t>CATUARO</t>
  </si>
  <si>
    <t>SUCRE CATUARO</t>
  </si>
  <si>
    <t>TRANSFORMADOR DE POTENCIA TRIFASICO 5 MVA 34,5/13,8 KV, DYn5 60 Hz</t>
  </si>
  <si>
    <t>CUMANACOA</t>
  </si>
  <si>
    <t>SUCRE CUMANACOA</t>
  </si>
  <si>
    <t>EL LOCO</t>
  </si>
  <si>
    <t>SUCRE EL LOCO</t>
  </si>
  <si>
    <t>ESPUGA</t>
  </si>
  <si>
    <t>SUCRE ESPUGA</t>
  </si>
  <si>
    <t>GUARAUNO</t>
  </si>
  <si>
    <t>SUCRE GUARAUNO</t>
  </si>
  <si>
    <t>SUCRE LA MOVIL DEL PEÑON</t>
  </si>
  <si>
    <t>LOS IPURES</t>
  </si>
  <si>
    <t>SUCRE LOS IPURES</t>
  </si>
  <si>
    <t>MANZANARES 34.5KV</t>
  </si>
  <si>
    <t>SUCRE MANZANARES 34,5KV</t>
  </si>
  <si>
    <t>TRANSFORMADOR DE POTENCIA TRIFASICO 15 MVA 34,5/13,8 KV, DYn5 60 Hz</t>
  </si>
  <si>
    <t>MARIGUITAR</t>
  </si>
  <si>
    <t>SUCRE MARIGUITAR</t>
  </si>
  <si>
    <t>MUELLE CARIACO</t>
  </si>
  <si>
    <t>SUCRE MUELLE CARIACO</t>
  </si>
  <si>
    <t>PERICANTAR</t>
  </si>
  <si>
    <t>SUCRE PERICANTAR</t>
  </si>
  <si>
    <t>RIO CARIBE</t>
  </si>
  <si>
    <t>SUCRE RIO CARIBE</t>
  </si>
  <si>
    <t>SAN JUAN</t>
  </si>
  <si>
    <t>SUCRE SAN JUAN</t>
  </si>
  <si>
    <t>TRANSFORMADOR DE POTENCIA TRIFASICO 2,5 MVA 34,5/13,8 KV, DYn5 60 Hz</t>
  </si>
  <si>
    <t>SANTA CRUZ</t>
  </si>
  <si>
    <t>SUCRE SANTA CRUZ</t>
  </si>
  <si>
    <t>TRANSFORMADOR DE POTENCIA TRIFASICO 3 MVA 34,5/13,8 KV, DYn5 60 Hz</t>
  </si>
  <si>
    <t>YAGUARAPARO</t>
  </si>
  <si>
    <t>SUCRE YAGUARAPARO</t>
  </si>
  <si>
    <t>LOS LLANOS</t>
  </si>
  <si>
    <t>Agua Blanca</t>
  </si>
  <si>
    <t>PORTUGUESA Agua Blanca</t>
  </si>
  <si>
    <t>T I</t>
  </si>
  <si>
    <t>RT: 34,5/13,8 kV,Cap: 10 MVA</t>
  </si>
  <si>
    <t xml:space="preserve"> T II</t>
  </si>
  <si>
    <t>RT: 34,5/13,8 kV,Cap: 10 MVA, Tip. Conex.: Dyn5, Marca: Siemens.</t>
  </si>
  <si>
    <t>Biscucuy</t>
  </si>
  <si>
    <t>PORTUGUESA Biscucuy</t>
  </si>
  <si>
    <t>SE COLOCO EN SERVICIO LA S/E BISCUCUY 115 kV, REEMPLAZANDO LA S/E  BISCUCUY 34,5kV</t>
  </si>
  <si>
    <t>Camburito</t>
  </si>
  <si>
    <t>PORTUGUESA Camburito</t>
  </si>
  <si>
    <t>Chabasquen</t>
  </si>
  <si>
    <t>T II</t>
  </si>
  <si>
    <t>PORTUGUESA Chabasquen</t>
  </si>
  <si>
    <t>El Cruce</t>
  </si>
  <si>
    <t>PORTUGUESA El Cruce</t>
  </si>
  <si>
    <t>El Playón</t>
  </si>
  <si>
    <t>PORTUGUESA El Playón</t>
  </si>
  <si>
    <t>Guanarito</t>
  </si>
  <si>
    <t>PORTUGUESA Guanarito</t>
  </si>
  <si>
    <t>La Aparicion</t>
  </si>
  <si>
    <t>PORTUGUESA La Aparicion</t>
  </si>
  <si>
    <t>La Colonia</t>
  </si>
  <si>
    <t>PORTUGUESA La Colonia</t>
  </si>
  <si>
    <t>Majaguas</t>
  </si>
  <si>
    <t>PORTUGUESA Majaguas</t>
  </si>
  <si>
    <t>Píritu</t>
  </si>
  <si>
    <t>PORTUGUESA Píritu</t>
  </si>
  <si>
    <t>Tinajitas</t>
  </si>
  <si>
    <t>PORTUGUESA Tinajitas</t>
  </si>
  <si>
    <t>PUERTO PAEZ</t>
  </si>
  <si>
    <t>AMAZONAS PUERTO PAEZ</t>
  </si>
  <si>
    <t>B 110</t>
  </si>
  <si>
    <t>Relacion de Transformacion 34,5/13,8 kV, 3 MVA serial: A302988</t>
  </si>
  <si>
    <t xml:space="preserve"> EL AGUILA</t>
  </si>
  <si>
    <t>MERIDA  EL AGUILA</t>
  </si>
  <si>
    <t>TRIFASICO; 5MVA- 34,5/13,8 KV -60Hz CLASE INTEMPERIE</t>
  </si>
  <si>
    <t xml:space="preserve"> EL MORAL</t>
  </si>
  <si>
    <t>MERIDA  EL MORAL</t>
  </si>
  <si>
    <t>TRIFASICO; 3MVA- 34,5/13,8 KV -60Hz CLASE OA  OLS3/70</t>
  </si>
  <si>
    <t>ARAPUEY</t>
  </si>
  <si>
    <t>MERIDA ARAPUEY</t>
  </si>
  <si>
    <t>TRIFASICO; 15MVA- 34,5/13,8 KV -60Hz CLASE I2040905</t>
  </si>
  <si>
    <t>BAILADORES</t>
  </si>
  <si>
    <t>MERIDA BAILADORES</t>
  </si>
  <si>
    <t>CANAGUA</t>
  </si>
  <si>
    <t>MERIDA CANAGUA</t>
  </si>
  <si>
    <t>TRIFASICO; 3MVA- 34,5/13,8 KV -60Hz CLASE INTEMPERIE</t>
  </si>
  <si>
    <t>CAÑO ZANCUDO</t>
  </si>
  <si>
    <t>MERIDA CAÑO ZANCUDO</t>
  </si>
  <si>
    <t>TRIFASICO; 10MVA- 34,5/13,8 KV -60Hz  CLASE KM-0133</t>
  </si>
  <si>
    <t>TRIFASICO; 15MVA- 34,5/13,8 KV -60Hz CLASE Ckotm 138 9-09 S/30</t>
  </si>
  <si>
    <t>CINCO AGUILAS</t>
  </si>
  <si>
    <t>MERIDA CINCO AGUILAS</t>
  </si>
  <si>
    <t>TRIFASICO; 10MVA- 34,5/13,8 KV -60Hz CLASE Ckotm 130 9-09 S/30</t>
  </si>
  <si>
    <t>EL BOSQUE</t>
  </si>
  <si>
    <t>MERIDA EL BOSQUE</t>
  </si>
  <si>
    <t>TRIFASICO; 10MVA- 34,5/13,8 KV -60Hz CLASE KM-0133</t>
  </si>
  <si>
    <t>EL MOLINO</t>
  </si>
  <si>
    <t>MERIDA EL MOLINO</t>
  </si>
  <si>
    <t>TRIFASICO; 2MVA- 34,5/13,8 KV -60Hz CLASE OA  OLS3/70</t>
  </si>
  <si>
    <t>GUARAQUE</t>
  </si>
  <si>
    <t>MERIDA GUARAQUE</t>
  </si>
  <si>
    <t>TRIFASICO; 1MVA- 34,5/13,8 KV -60Hz CLASE OA  OLS3/70</t>
  </si>
  <si>
    <t>LA MITISUS</t>
  </si>
  <si>
    <t>MERIDA LA MITISUS</t>
  </si>
  <si>
    <t>LAGUNILLAS</t>
  </si>
  <si>
    <t>MERIDA LAGUNILLAS</t>
  </si>
  <si>
    <t>LOS FRAILES</t>
  </si>
  <si>
    <t>MERIDA LOS FRAILES</t>
  </si>
  <si>
    <t xml:space="preserve">TRIFASICO; 0,5 MVA- 34,5/13,8 KV -60Hz CLASE </t>
  </si>
  <si>
    <t>MUCUCHIES</t>
  </si>
  <si>
    <t>MERIDA MUCUCHIES</t>
  </si>
  <si>
    <t>MERIDA SAN ANTONIO</t>
  </si>
  <si>
    <t>MERIDA SAN JACINTO</t>
  </si>
  <si>
    <t xml:space="preserve">TRIFASICO; 10MVA- 34,5/13,8 KV -60Hz CLASE </t>
  </si>
  <si>
    <t xml:space="preserve">SANTA CRUZ </t>
  </si>
  <si>
    <t xml:space="preserve">MERIDA SANTA CRUZ </t>
  </si>
  <si>
    <t>SANTA TERESA</t>
  </si>
  <si>
    <t>MERIDA SANTA TERESA</t>
  </si>
  <si>
    <t>VILLA LIBERTAD</t>
  </si>
  <si>
    <t>MERIDA VILLA LIBERTAD</t>
  </si>
  <si>
    <t>BICENTENARIO</t>
  </si>
  <si>
    <t>MIRANDA BICENTENARIO</t>
  </si>
  <si>
    <t>NO HAY TRX</t>
  </si>
  <si>
    <t>NO HAY EQUIPO INSTALADO</t>
  </si>
  <si>
    <t>CANGREJAL</t>
  </si>
  <si>
    <t>MIRANDA CANGREJAL</t>
  </si>
  <si>
    <t>34,5/13,8 KV</t>
  </si>
  <si>
    <t>CARENERO</t>
  </si>
  <si>
    <t>MIRANDA CARENERO</t>
  </si>
  <si>
    <t>CIUDAD MIRANDA</t>
  </si>
  <si>
    <t>MIRANDA CIUDAD MIRANDA</t>
  </si>
  <si>
    <t>CIUDAD ZAMORA</t>
  </si>
  <si>
    <t>MIRANDA CIUDAD ZAMORA</t>
  </si>
  <si>
    <t>COLINAS DE SAN FCO.</t>
  </si>
  <si>
    <t>MIRANDA COLINAS DE SAN FCO.</t>
  </si>
  <si>
    <t>MIRANDA CUA</t>
  </si>
  <si>
    <t>CÚPIRA</t>
  </si>
  <si>
    <t>MIRANDA CÚPIRA</t>
  </si>
  <si>
    <t>CURIEPE</t>
  </si>
  <si>
    <t>MIRANDA CURIEPE</t>
  </si>
  <si>
    <t>GUAPO</t>
  </si>
  <si>
    <t>MIRANDA GUAPO</t>
  </si>
  <si>
    <t>HIGUEROTE I</t>
  </si>
  <si>
    <t>MIRANDA HIGUEROTE I</t>
  </si>
  <si>
    <t>INAVI</t>
  </si>
  <si>
    <t>MIRANDA INAVI</t>
  </si>
  <si>
    <t xml:space="preserve">MIRANDA LA RAIZA </t>
  </si>
  <si>
    <t>OCCIDENTAL</t>
  </si>
  <si>
    <t>LARA AGUA VIVA</t>
  </si>
  <si>
    <t>NO APLICA</t>
  </si>
  <si>
    <t>LARA BARRETO</t>
  </si>
  <si>
    <t>LARA CARABALÍ</t>
  </si>
  <si>
    <t>DUACA</t>
  </si>
  <si>
    <t>LARA DUACA</t>
  </si>
  <si>
    <t>24/13,8 KV, 5 MVA</t>
  </si>
  <si>
    <t xml:space="preserve"> 24/13,8 KV, 6,25 MVA</t>
  </si>
  <si>
    <t>HUMOCARO</t>
  </si>
  <si>
    <t>LARA HUMOCARO</t>
  </si>
  <si>
    <t xml:space="preserve"> 34,5/13,8 KV, 5 MVA</t>
  </si>
  <si>
    <t>LA MAMITA</t>
  </si>
  <si>
    <t>LARA LA MAMITA</t>
  </si>
  <si>
    <t>34,5/13,8 KV , 2,65 MVA</t>
  </si>
  <si>
    <t>LA MIEL</t>
  </si>
  <si>
    <t>LARA LA MIEL</t>
  </si>
  <si>
    <t>24/13,8 KV, 16 MVA</t>
  </si>
  <si>
    <t>34,5/13,8 KV , 10 MVA</t>
  </si>
  <si>
    <t>LARA NORTE</t>
  </si>
  <si>
    <t>PALMARITO</t>
  </si>
  <si>
    <t>LARA PALMARITO</t>
  </si>
  <si>
    <t>34,5/13,8 KV , 2,5 MVA</t>
  </si>
  <si>
    <t>PLANTA I BARQUISIMETO</t>
  </si>
  <si>
    <t>LARA PLANTA I BARQUISIMETO</t>
  </si>
  <si>
    <t>24 / 4,16 KVA  6,67 MVA</t>
  </si>
  <si>
    <t>LARA PLANTA I CARORA</t>
  </si>
  <si>
    <t>POLEO</t>
  </si>
  <si>
    <t>LARA POLEO</t>
  </si>
  <si>
    <t>24 / 4,16 KVA  6,25 MVA</t>
  </si>
  <si>
    <t>QUEBRADA ARRIBA</t>
  </si>
  <si>
    <t>LARA QUEBRADA ARRIBA</t>
  </si>
  <si>
    <t>34,5 / 13,8 KV   2,5 MVA</t>
  </si>
  <si>
    <t>SANARE</t>
  </si>
  <si>
    <t>LARA SANARE</t>
  </si>
  <si>
    <t>24 / 13,8 KVA  6,25 MVA</t>
  </si>
  <si>
    <t>CABRIALES 2,4</t>
  </si>
  <si>
    <t>CARABOBO CABRIALES 2,4</t>
  </si>
  <si>
    <t>Tx-1</t>
  </si>
  <si>
    <t xml:space="preserve">TRANSFORMADOR DE POTENCIA TRIFASICO 3 MVA,  13,8/2,4 KV,  Delta-Delta -  60 Hz </t>
  </si>
  <si>
    <t>CAMORUCO</t>
  </si>
  <si>
    <t>CARABOBO CAMORUCO</t>
  </si>
  <si>
    <t>Tx-3</t>
  </si>
  <si>
    <t>TRANSFORMADOR DE POTENCIA TRIFASICO 7 MVA 34,5/13,8 KV, DYn5 60 Hz</t>
  </si>
  <si>
    <t>Tx-4</t>
  </si>
  <si>
    <t>Tx-5</t>
  </si>
  <si>
    <t>TRANSFORMADOR DE POTENCIA TRIFASICO 14 MVA 34,5/13,8 KV, DYn5 60 Hz</t>
  </si>
  <si>
    <t>Tx-6</t>
  </si>
  <si>
    <t>CENTRAL TACARIGUA I</t>
  </si>
  <si>
    <t>CARABOBO CENTRAL TACARIGUA I</t>
  </si>
  <si>
    <t>Tx-2</t>
  </si>
  <si>
    <t>CENTRAL TACARIGUA II</t>
  </si>
  <si>
    <t>CARABOBO CENTRAL TACARIGUA II</t>
  </si>
  <si>
    <t>CENTRO ACUARIO</t>
  </si>
  <si>
    <t>CARABOBO CENTRO ACUARIO</t>
  </si>
  <si>
    <t>TRANSFORMADOR DE POTENCIA TRIFASICO 18 MVA 34,5/13,8 KV, DYn5 60 Hz</t>
  </si>
  <si>
    <t>TRANSFORMADOR DE POTENCIA TRIFASICO 28 MVA 34,5/13,8 KV, DYn5 60 Hz</t>
  </si>
  <si>
    <t>CENTRO MICHELENA</t>
  </si>
  <si>
    <t>CARABOBO CENTRO MICHELENA</t>
  </si>
  <si>
    <t>CIUDAD PLAZA</t>
  </si>
  <si>
    <t>CARABOBO CIUDAD PLAZA</t>
  </si>
  <si>
    <t>GENERAL MOTORS</t>
  </si>
  <si>
    <t>CARABOBO GENERAL MOTORS</t>
  </si>
  <si>
    <t>GIRARDOT 2,4</t>
  </si>
  <si>
    <t>CARABOBO GIRARDOT 2,4</t>
  </si>
  <si>
    <t>TRANSFORMADOR DE POTENCIA TRIFASICO 1,25 MVA,  13,8/2,4 KV,  Delta-Delta -  60 Hz Z :4.5%</t>
  </si>
  <si>
    <t>TRANSFORMADOR DE POTENCIA TRIFASICO 1,15 MVA,  13,8/2,4 KV,  Delta-Delta -  60 Hz Z :4.5%</t>
  </si>
  <si>
    <t>TRANSFORMADOR DE POTENCIA TRIFASICO 1,2 MVA,  13,8/2,4 KV,  Delta-Delta -  60 Hz Z :4.5%</t>
  </si>
  <si>
    <t>Tx-7</t>
  </si>
  <si>
    <t>Tx-8</t>
  </si>
  <si>
    <t>Tx-9</t>
  </si>
  <si>
    <t>HUGO CHAVEZ</t>
  </si>
  <si>
    <t>CARABOBO HUGO CHAVEZ</t>
  </si>
  <si>
    <t>INOS</t>
  </si>
  <si>
    <t>CARABOBO INOS</t>
  </si>
  <si>
    <t>LA CUMACA</t>
  </si>
  <si>
    <t>CARABOBO LA CUMACA</t>
  </si>
  <si>
    <t>LA GLORIETA</t>
  </si>
  <si>
    <t>CARABOBO LA GLORIETA</t>
  </si>
  <si>
    <t>CARABOBO MIRANDA</t>
  </si>
  <si>
    <t>MONTALBAN</t>
  </si>
  <si>
    <t>CARABOBO MONTALBAN</t>
  </si>
  <si>
    <t>NAGUANAGUA 2,4</t>
  </si>
  <si>
    <t>CARABOBO NAGUANAGUA 2,4</t>
  </si>
  <si>
    <t>TRANSFORMADOR DE POTENCIA TRIFASICO 0.999 MVA,  13,8/2,4 KV,  Delta-Delta -  60 Hz Z :4.5%</t>
  </si>
  <si>
    <t>PRUINCA</t>
  </si>
  <si>
    <t>CARABOBO PRUINCA</t>
  </si>
  <si>
    <t>SAN BLAS 2,4</t>
  </si>
  <si>
    <t>CARABOBO SAN BLAS 2,4</t>
  </si>
  <si>
    <t>SANTA ROSA 2,4</t>
  </si>
  <si>
    <t>CARABOBO SANTA ROSA 2,4</t>
  </si>
  <si>
    <t>TRANSFORMADOR DE POTENCIA TRIFASICO 1,5 MVA,  13,8/2,4 KV,  Delta-Delta -  60 Hz Z :4.5%</t>
  </si>
  <si>
    <t>SH FUNDICIONES</t>
  </si>
  <si>
    <t>CARABOBO SH FUNDICIONES</t>
  </si>
  <si>
    <t>TRANSFORMADOR DE POTENCIA TRIFASICO 20 MVA 34,5/13,8 KV, DYn5 60 Hz</t>
  </si>
  <si>
    <t>SUR</t>
  </si>
  <si>
    <t>CARABOBO SUR</t>
  </si>
  <si>
    <t>SANTA PAULA</t>
  </si>
  <si>
    <t>CARABOBO SANTA PAULA</t>
  </si>
  <si>
    <t>TREBOL</t>
  </si>
  <si>
    <t>CARABOBO TREBOL</t>
  </si>
  <si>
    <t>VIGIRIMA</t>
  </si>
  <si>
    <t>CARABOBO VIGIRIMA</t>
  </si>
  <si>
    <t>CARABOBO PLANTA QUIZANDA</t>
  </si>
  <si>
    <t>-</t>
  </si>
  <si>
    <t>ALTO BARINAS</t>
  </si>
  <si>
    <t>BARINAS ALTO BARINAS</t>
  </si>
  <si>
    <t>WEG</t>
  </si>
  <si>
    <t>TENSIÓN DE ENTRADA: 34,5 KV
TENSIÓN DE SALIDA:14,1 KV
TIPO DE REFRIGERACIÓN: ONAN
GRUPO DE CONEXIONES: DYN5
DESFASE HORARIO: 5
CAMBIADOR DE TAP: AUTOMÁTICO
Frecuencia: 60 HZ
TIPO DE NUCLEO: COBRE 
TIPO DE CONSTRUCCIÓN INTEMPERIE</t>
  </si>
  <si>
    <t>SIEMENS</t>
  </si>
  <si>
    <t>12 a 15</t>
  </si>
  <si>
    <t>TENSIÓN DE ENTRADA: 34,5 KV
TENSIÓN DE SALIDA:14,1 KV
TIPO DE REFRIGERACIÓN: ONAN / ANAF
GRUPO DE CONEXIONES: DYN5
DESFASE HORARIO: 5
CAMBIADOR DE TAP: AUTOMÁTICO
Frecuencia: 60 HZ
TIPO DE NUCLEO: COBRE 
TIPO DE CONSTRUCCIÓN INTEMPERIE</t>
  </si>
  <si>
    <t>CAIVET</t>
  </si>
  <si>
    <t>TENSIÓN DE ENTRADA: 34,5 KV
TENSIÓN DE SALIDA:14,1 KV
TIPO DE REFRIGERACIÓN: ONAN
GRUPO DE CONEXIONES: DYN5
DESFASE HORARIO: 5
CAMBIADOR DE TAP: MANUAL
Frecuencia: 60 HZ
TIPO DE NUCLEO: COBRE 
TIPO DE CONSTRUCCIÓN INTEMPERIE</t>
  </si>
  <si>
    <t>TXP QUEMADO DESDE EL AÑO 2019</t>
  </si>
  <si>
    <t>BARINITAS</t>
  </si>
  <si>
    <t>BARINAS BARINITAS</t>
  </si>
  <si>
    <t>HYUNDAI</t>
  </si>
  <si>
    <t>TENSIÓN DE ENTRADA: 34,5 KV
TENSIÓN DE SALIDA:13.8 KV
TIPO DE REFRIGERACIÓN: ONAN
GRUPO DE CONEXIONES: DYN5
DESFASE HORARIO: 5
CAMBIADOR DE TAP: MANUAL
Frecuencia: 60 HZ
TIPO DE NUCLEO: COBRE 
TIPO DE CONSTRUCCIÓN INTEMPERIE</t>
  </si>
  <si>
    <t>TENSIÓN DE ENTRADA: 34,5 KV
TENSIÓN DE SALIDA:13.8 KV
TIPO DE REFRIGERACIÓN: ONAN
GRUPO DE CONEXIONES: DYN5
DESFASE HORARIO: 5
CAMBIADOR DE TAP: AUTOMÁTICO
Frecuencia: 60 HZ
TIPO DE NUCLEO: COBRE 
TIPO DE CONSTRUCCIÓN INTEMPERIE</t>
  </si>
  <si>
    <t>BARRANCAS</t>
  </si>
  <si>
    <t>BARINAS BARRANCAS</t>
  </si>
  <si>
    <t>BARINAS CANAGUA</t>
  </si>
  <si>
    <t>CAPITANEJO</t>
  </si>
  <si>
    <t>BARINAS CAPITANEJO</t>
  </si>
  <si>
    <t>CDAD DE NUTRIAS</t>
  </si>
  <si>
    <t>BARINAS CDAD DE NUTRIAS</t>
  </si>
  <si>
    <t>TENSIÓN DE ENTRADA: 34,5 KV
TENSIÓN DE SALIDA:14.1 KV
TIPO DE REFRIGERACIÓN: ONAN
GRUPO DE CONEXIONES: DYN5
DESFASE HORARIO: 5
CAMBIADOR DE TAP: AUTOMÁTICO
Frecuencia: 60 HZ
TIPO DE NUCLEO: COBRE 
TIPO DE CONSTRUCCIÓN INTEMPERIE</t>
  </si>
  <si>
    <t>LOS SILOS</t>
  </si>
  <si>
    <t>BARINAS LOS SILOS</t>
  </si>
  <si>
    <t>EFACEC</t>
  </si>
  <si>
    <t>5 A 10</t>
  </si>
  <si>
    <t>TENSIÓN DE ENTRADA: 34,5 KV
TENSIÓN DE SALIDA: 13.8 KV
TIPO DE REFRIGERACIÓN: ONAN / ANAF
GRUPO DE CONEXIONES: DYN5
DESFASE HORARIO: 5
CAMBIADOR DE TAP: AUTOMÁTICO
Frecuencia: 60 HZ
TIPO DE NUCLEO: COBRE 
TIPO DE CONSTRUCCIÓN INTEMPERIE</t>
  </si>
  <si>
    <t>MIJAGUA</t>
  </si>
  <si>
    <t>BARINAS MIJAGUA</t>
  </si>
  <si>
    <t>6 A 10</t>
  </si>
  <si>
    <t>TENSIÓN DE ENTRADA: 34,5 KV
TENSIÓN DE SALIDA:14,1 KV
TIPO DE REFRIGERACIÓN: ONAN / ANAF
GRUPO DE CONEXIONES: DYN5
DESFASE HORARIO: 5
CAMBIADOR DE TAP: MANUAL
Frecuencia: 60 HZ
TIPO DE NUCLEO: COBRE 
TIPO DE CONSTRUCCIÓN INTEMPERIE</t>
  </si>
  <si>
    <t>OBISPOS</t>
  </si>
  <si>
    <t>BARINAS OBISPOS</t>
  </si>
  <si>
    <t>PAWELS TRAFO</t>
  </si>
  <si>
    <t>SABANETA</t>
  </si>
  <si>
    <t>BARINAS SABANETA</t>
  </si>
  <si>
    <t>12 A 15</t>
  </si>
  <si>
    <t>TERRAZAS DEL STO. DOMINGO</t>
  </si>
  <si>
    <t>BARINAS TERRAZAS DEL STO. DOMINGO</t>
  </si>
  <si>
    <t>TENSIÓN DE ENTRADA: 34,5 KV
TENSIÓN DE SALIDA: 13.8 KV
TIPO DE REFRIGERACIÓN: ONAN / ANAF
GRUPO DE CONEXIONES: DYN5
DESFASE HORARIO: 5
CAMBIADOR DE TAP: MANUAL
Frecuencia: 60 HZ
TIPO DE NUCLEO: COBRE 
TIPO DE CONSTRUCCIÓN INTEMPERIE</t>
  </si>
  <si>
    <t>LA GUAIRA AEROPUERTO</t>
  </si>
  <si>
    <t>12,47/4,8KV TRX TRIFASICO</t>
  </si>
  <si>
    <t>ANARE</t>
  </si>
  <si>
    <t>LA GUAIRA ANARE</t>
  </si>
  <si>
    <t>30/4,8 TRX TRIFASICO</t>
  </si>
  <si>
    <t>CANTÓN</t>
  </si>
  <si>
    <t>LA GUAIRA CANTÓN</t>
  </si>
  <si>
    <t>TRX3</t>
  </si>
  <si>
    <t>CARAYACA</t>
  </si>
  <si>
    <t>LA GUAIRA CARAYACA</t>
  </si>
  <si>
    <t>TRX4</t>
  </si>
  <si>
    <t>69/30/12,47KV</t>
  </si>
  <si>
    <t>TRX5</t>
  </si>
  <si>
    <t>CASINO</t>
  </si>
  <si>
    <t>LA GUAIRA CASINO</t>
  </si>
  <si>
    <t>TRX6</t>
  </si>
  <si>
    <t>30/4,8KV</t>
  </si>
  <si>
    <t>TRX7</t>
  </si>
  <si>
    <t>TRX8</t>
  </si>
  <si>
    <t>CHUSPA</t>
  </si>
  <si>
    <t>LA GUAIRA CHUSPA</t>
  </si>
  <si>
    <t>TRX9</t>
  </si>
  <si>
    <t>30/8,3KV TRX MONOFASICO</t>
  </si>
  <si>
    <t>TRX10</t>
  </si>
  <si>
    <t>TRX11</t>
  </si>
  <si>
    <t>CINTA COSTERA</t>
  </si>
  <si>
    <t>LA GUAIRA CINTA COSTERA</t>
  </si>
  <si>
    <t>TRX12</t>
  </si>
  <si>
    <t>69/30/12,47 - 4,8KV
TRX TRIFASICO</t>
  </si>
  <si>
    <t>GUAIRA</t>
  </si>
  <si>
    <t>LA GUIARA GUAIRA</t>
  </si>
  <si>
    <t>TRX13</t>
  </si>
  <si>
    <t>28,8/4,8KV TRX TRIFASICO</t>
  </si>
  <si>
    <t>LA GUAIRA GUAIRA</t>
  </si>
  <si>
    <t>TRX14</t>
  </si>
  <si>
    <t>LA SABANA</t>
  </si>
  <si>
    <t>LA GUAIRA LA SABANA</t>
  </si>
  <si>
    <t>TRX15</t>
  </si>
  <si>
    <t>TRX16</t>
  </si>
  <si>
    <t>TRX17</t>
  </si>
  <si>
    <t>TRX18</t>
  </si>
  <si>
    <t>TRX19</t>
  </si>
  <si>
    <t>TRX20</t>
  </si>
  <si>
    <t>LOS CARACAS</t>
  </si>
  <si>
    <t>LA GUAIRA LOS CARACAS</t>
  </si>
  <si>
    <t>TRX21</t>
  </si>
  <si>
    <t>30/4,8KV TRX MONOFASICO</t>
  </si>
  <si>
    <t>TRX22</t>
  </si>
  <si>
    <t>TRX23</t>
  </si>
  <si>
    <t>MARAPA</t>
  </si>
  <si>
    <t>LA GUAIRA MARAPA</t>
  </si>
  <si>
    <t>TRX24</t>
  </si>
  <si>
    <t>TRX25</t>
  </si>
  <si>
    <t>MARE</t>
  </si>
  <si>
    <t>LA GUAIRA MARE</t>
  </si>
  <si>
    <t>TRX26</t>
  </si>
  <si>
    <t>TRX27</t>
  </si>
  <si>
    <t>TRX28</t>
  </si>
  <si>
    <t>TODASANA</t>
  </si>
  <si>
    <t>LA GUAIRA TODASANA</t>
  </si>
  <si>
    <t>TRX29</t>
  </si>
  <si>
    <t>TRX30</t>
  </si>
  <si>
    <t>TRX31</t>
  </si>
  <si>
    <t>OCCIDENTE</t>
  </si>
  <si>
    <t>ALTAGRACIA</t>
  </si>
  <si>
    <t>ZULIA ALTAGRACIA</t>
  </si>
  <si>
    <t>TX-1</t>
  </si>
  <si>
    <t>Transformador de Potencia 16 / 20 MVA numero de serie 185432 Año de Fabricación 2002 Trifasico Frecuencia 60 HzRefrigeracion ONAN/ONAF. Cambiador de Tomas 17 Posiciones.  Resistencia 10,16% -12,69%. In Alta Tension 240 A In Baja Tensión 834A. Peso Total 38350 Kg. Tipo de Conexion Dyn5</t>
  </si>
  <si>
    <t>TX-2</t>
  </si>
  <si>
    <t>Transformador de Potencia 16 / 20 MVA numero de serie 185431 Año de Fabricación 2002 Trifasico Frecuencia 60 HzRefrigeracion ONAN/ONAF. Cambiador de Tomas 17 Posiciones.  Resistencia 10,16% -12,69%. In Alta Tension 240 A In Baja Tensión 834A. Peso Total 38350 Kg. Tipo de Conexion Dyn5</t>
  </si>
  <si>
    <t>BACHAQUERO</t>
  </si>
  <si>
    <t>ZULIA BACHAQUERO</t>
  </si>
  <si>
    <t>Tx de potencia Trifasico 16 / 20 MVA 60 Hz 34,5/ 13,8 kV # P020ge618-01 Año de Fabricación 2010. Aumento de Temperatura Aceite 65 Grados Centigrados. Cambiador de tomas sin carga 5 posiciones. Cambiador de tomas bajo carga 17 posiciones. Refrigeración NAF</t>
  </si>
  <si>
    <t>Tx de Potencia Trifasico 16 / 20 MVA 60 Hz 34,5/ 13,8 kV #  F0718BT Año de Fabricación 2007 Frecuencia 60 HZ Resistenciia de Transcicion 1,86 ohm, Corriente nominal 234,2 A. Cambiador de Tomas 17 Posiciones</t>
  </si>
  <si>
    <t>ZULIA BELLA VISTA</t>
  </si>
  <si>
    <t>Tx de Potencia 10/13,3 MVA 23,9/8,3 kV 60 Hz  Año de Fabricación 1969 Serial 553827. Impedancia 7,7% Peso 31000 Kg. USAS - C57-I2. Clase ONAN/ONAF</t>
  </si>
  <si>
    <t>TX-3</t>
  </si>
  <si>
    <t>Tx de Potencia 10/13,3 MVA 23,9/8,3 kV 60 Hz  Año de Fabricación 1978 Serial GL-269057  Peso 43700 Kg. USAS - C57-I2. Clase ONAN/ONAF</t>
  </si>
  <si>
    <t>BOQUETE</t>
  </si>
  <si>
    <t>ZULIA BOQUETE</t>
  </si>
  <si>
    <t>BURRO NEGRO</t>
  </si>
  <si>
    <t>ZULIA BURRO NEGRO</t>
  </si>
  <si>
    <t>No existe Subestacion Apendice o de Pase</t>
  </si>
  <si>
    <t>CAMPO LARA</t>
  </si>
  <si>
    <t>ZULIA CAMPO LARA</t>
  </si>
  <si>
    <t>Tx de Potencia  2,5 MVA 34,5 /13,8 kV Frecuencia 60 Hz Tipo de Conexión Dyn5 Refrigeracion ANAño de Fabricación 1974 Impedancia 6,8 a 75 grados centigrados Peso Total 8900 Kg. Normas USAS C57 Corriente Nominal AT 41,83 a. Corriente Nominal BT 104,5 A</t>
  </si>
  <si>
    <t>CATANEJA</t>
  </si>
  <si>
    <t>ZULIA CATANEJA</t>
  </si>
  <si>
    <t>EL CHIVO</t>
  </si>
  <si>
    <t>ZULIA EL CHIVO</t>
  </si>
  <si>
    <t>Tx de 29 MVA 23,9/13,8 kV Trifasico 60 Hz Grupo YNd1 10,38% In Alta Tension 529 / 698 A, In Baja Tension 920 / 1210 A Serial 732611-1 Año de Manofactura 1980 Peso Total 38,200 Kg. Cambiador de Tomas 5 Posiciones.</t>
  </si>
  <si>
    <t>EL COROZO</t>
  </si>
  <si>
    <t>ZULIA EL COROZO</t>
  </si>
  <si>
    <t>Tx de Potencia 5 MVA 34,5 /13,8 kv Marc CAIVET Tipo Iterperie Enfriamiento ONAN Frecuencia 60 Hz, Año de Fabricación 1981 Serial 1609E920 Grupo Dyn5</t>
  </si>
  <si>
    <t>EL DANTO</t>
  </si>
  <si>
    <t>ZULIA EL DANTO</t>
  </si>
  <si>
    <t>EL GUANABANO</t>
  </si>
  <si>
    <t>ZULIA EL GUANABANO</t>
  </si>
  <si>
    <t>NTx de Potencia de 10 MVA 34,5/13,8 kV Sin Placa de Identificación</t>
  </si>
  <si>
    <t>Tx de Potencia 7,5 MVA 34,5/13,8 kV Grupo de Conexión DYN11. Año de Fabricación 1976 Temperatura 40 Grados Centrigados In AT 125 Amp In BT 314 A.</t>
  </si>
  <si>
    <t>ZULIA LAGUNILLAS</t>
  </si>
  <si>
    <t>No existen</t>
  </si>
  <si>
    <t>LIBERTADOR</t>
  </si>
  <si>
    <t>ZULIA LIBERTADOR</t>
  </si>
  <si>
    <t>LOS JOBITOS</t>
  </si>
  <si>
    <t>ZULIA LOS JOBITOS</t>
  </si>
  <si>
    <t>Tx de Potencia de 10 MVA 34,5/13,8 kV No se aprecia informacion en la placa</t>
  </si>
  <si>
    <t>Tx de Potencia de 5 MVA 34,5/13,8 kV No se aprecia mayor informacion en la Placa</t>
  </si>
  <si>
    <t>LUZ</t>
  </si>
  <si>
    <t>ZULIA LUZ</t>
  </si>
  <si>
    <t>MENE GRANDE</t>
  </si>
  <si>
    <t>ZULIA MENE GRANDE</t>
  </si>
  <si>
    <t>PUNTA DE LEIVA</t>
  </si>
  <si>
    <t>ZULIA PUNTA DE LEIVA</t>
  </si>
  <si>
    <t>SABANA DE MACHANGO</t>
  </si>
  <si>
    <t>ZULIA SABANA DE MACHANGO</t>
  </si>
  <si>
    <t>Tx de Potencia 10 MVA 34,5 / 13,8 kVMArca AREVA</t>
  </si>
  <si>
    <t>SAN ROQUE</t>
  </si>
  <si>
    <t>ZULIA SAN ROQUE</t>
  </si>
  <si>
    <t>VERITAS</t>
  </si>
  <si>
    <t>ZULIA VERITAS</t>
  </si>
  <si>
    <t>Tx de Potencia 10/13,3 MVA 23,9/8,3 kV Impedancia 7,7% Frecuencia 60 Hz Peso 31000 Kg Serial 553828 Año de Fabricación Octubre 1969 Clase ONAN/ONAF</t>
  </si>
  <si>
    <t>Tx de Potencia 10/13,3 MVA 23,9/8,3 Kv Frecuencia 60 Hz Clase ONAN/ONAF Peso 31000 Kg Impedancia 7,7% Año de Fabricacion 1969</t>
  </si>
  <si>
    <t>LAS PAZ</t>
  </si>
  <si>
    <t>ZULIA LA PAZ</t>
  </si>
  <si>
    <t xml:space="preserve">LOS LLANOS </t>
  </si>
  <si>
    <t>ACHAGUAS</t>
  </si>
  <si>
    <t>APURE ACHAGUAS</t>
  </si>
  <si>
    <t xml:space="preserve">MARCA: HYUNDAI. RELACION: 34,5/13,8KV. CAPACIDAD: 10,000 KVA. CLASE:  </t>
  </si>
  <si>
    <t>ARICHUNA</t>
  </si>
  <si>
    <t>APURE ARICHUNA</t>
  </si>
  <si>
    <t xml:space="preserve">MARCA: SIEMENS. RELACION: 34,5/13,8KV. CAPACIDAD: 10,000 KVA. CLASE: 0,5. </t>
  </si>
  <si>
    <t>BETHEL</t>
  </si>
  <si>
    <t>APURE BETHEL</t>
  </si>
  <si>
    <t xml:space="preserve">RELACION: 34,5/13,8KV. CAPACIDAD: 10,000 KVA. CLASE: </t>
  </si>
  <si>
    <t>CIUDAD SUCRE</t>
  </si>
  <si>
    <t>APURE CIUDAD SUCRE</t>
  </si>
  <si>
    <t xml:space="preserve">RELACION: 34,5/13,8KV. CAPACIDAD: 5,000 KVA. CLASE: </t>
  </si>
  <si>
    <t>DOMO BIRUACA</t>
  </si>
  <si>
    <t>APURE DOMO BIRUACA</t>
  </si>
  <si>
    <t>APURE EL AMPARO</t>
  </si>
  <si>
    <t>MARCA: SIEMENS. RELACION: 34,5/13,8KV. CAPACIDAD: 10,000 KVA. CLASE: 0,5.</t>
  </si>
  <si>
    <t>EL NULA</t>
  </si>
  <si>
    <t>APURE EL NULA</t>
  </si>
  <si>
    <t>RELACION: 34,5/13,8KV. CAPACIDAD: 5,000 KVA. CLASE: 55 ◦C.</t>
  </si>
  <si>
    <t>EL YAGUAL</t>
  </si>
  <si>
    <t>APURE EL YAGUAL</t>
  </si>
  <si>
    <t>LA VICTORIA</t>
  </si>
  <si>
    <t>APURE LA VICTORIA</t>
  </si>
  <si>
    <t xml:space="preserve">RELACION: 34,5/13,8KV. CAPACIDAD: 2500 KVA. CLASE: </t>
  </si>
  <si>
    <t>LAS TIAMITAS</t>
  </si>
  <si>
    <t>APURE LAS TIAMITAS</t>
  </si>
  <si>
    <t xml:space="preserve">MARCA: PAUWELS TRAFO BELGIUM. RELACION: 34,5/13,8KV. CAPACIDAD: 6,000 KVA. CLASE: . </t>
  </si>
  <si>
    <t>APURE LOS SILOS</t>
  </si>
  <si>
    <t>MARCA: URUTRANSFOR. RELACION: 34,5/13,8KV. CAPACIDAD: 12,000 KVA. CLASE: 5P20</t>
  </si>
  <si>
    <t>MATADERO INDUSTRIAL</t>
  </si>
  <si>
    <t>APURE MATADERO INDUSTRIAL</t>
  </si>
  <si>
    <t xml:space="preserve">MARCA: PAUWELS TRAFO BELGIUM. RELACION: 34,5/13,8KV. CAPACIDAD: 5,000 KVA. CLASE: </t>
  </si>
  <si>
    <t>PROMOLLANOS</t>
  </si>
  <si>
    <t>APURE PROMOLLANOS</t>
  </si>
  <si>
    <t>MARCA: SIEMENS. RELACION: 34,5/13,8KV. CAPACIDAD: 5,000 KVA. CLASE: 0,5.</t>
  </si>
  <si>
    <t>SAN JUAN DE PAYARA</t>
  </si>
  <si>
    <t>APURE SAN JUAN DE PAYARA</t>
  </si>
  <si>
    <t xml:space="preserve">MARCA: SIEMENS. RELACION: 34,5/13,8KV. CAPACIDAD: 10,000 KVA. CLASE:  </t>
  </si>
  <si>
    <t>SANTA RITA</t>
  </si>
  <si>
    <t>APURE SANTA RITA</t>
  </si>
  <si>
    <t>TRINIDAD DE ORICHUNA</t>
  </si>
  <si>
    <t>APURE TRINIDAD DE ORICHUNA</t>
  </si>
  <si>
    <t>UNELLEZ</t>
  </si>
  <si>
    <t>APURE UNELLEZ</t>
  </si>
  <si>
    <t>APARTADEROS</t>
  </si>
  <si>
    <t>COJEDES APARTADEROS</t>
  </si>
  <si>
    <t>DYn5</t>
  </si>
  <si>
    <t>TRANFORMADOR DE POTENCIA TRIFASICO 10 MVA, 34,5/13,8 KV - 60HZ, MARCA: WEG INDUSTRIAS</t>
  </si>
  <si>
    <t>EL BAÚL</t>
  </si>
  <si>
    <t>COJEDES EL BAÚL</t>
  </si>
  <si>
    <t>TRANFORMADOR DE POTENCIA TRIFASICO 5 MVA, 34,5/13,8 KV - 60HZ, MARCA: CAIVET</t>
  </si>
  <si>
    <t>TRANFORMADOR DE POTENCIA TRIFASICO 5 MVA, 34,5/13,8 KV - 60HZ, MARCA: PAUWELS TRAFO</t>
  </si>
  <si>
    <t>COJEDES EL PAO</t>
  </si>
  <si>
    <t>TRANFORMADOR DE POTENCIA TRIFASICO 10 MVA, 34,5/13,8 KV - 60HZ, MARCA: SIEMENS</t>
  </si>
  <si>
    <t>HILANDERIA</t>
  </si>
  <si>
    <t>COJEDES HILANDERIA</t>
  </si>
  <si>
    <t>TRANFORMADOR DE POTENCIA TRIFASICO 20 MVA, 34,5/13,8 KV - 60HZ, MARCA: WEG INDUSTRIAS</t>
  </si>
  <si>
    <t>ARISMENDI</t>
  </si>
  <si>
    <t>COJEDES ARISMENDI</t>
  </si>
  <si>
    <t>TRANFORMADOR DE POTENCIA TRIFASICO 10 MVA, 34,5/13,8 KV - 60HZ</t>
  </si>
  <si>
    <t>LA AGUADITA</t>
  </si>
  <si>
    <t>COJEDES LA AGUADITA</t>
  </si>
  <si>
    <t>LAGUNITAS</t>
  </si>
  <si>
    <t>COJEDES LAGUNITAS</t>
  </si>
  <si>
    <t>TRANFORMADOR DE POTENCIA TRIFASICO 10 MVA, 34,5/13,8 KV - 60HZ, MARCA: PAUWELS TRAFO</t>
  </si>
  <si>
    <t>LAS VEGAS</t>
  </si>
  <si>
    <t>COJEDES LAS VEGAS</t>
  </si>
  <si>
    <t>TRANFORMADOR DE POTENCIA TRIFASICO 10 MVA, 34,5/13,8 KV - 60HZ, MARCA:PAUWELS TRAFO</t>
  </si>
  <si>
    <t>TRANFORMADOR DE POTENCIA TRIFASICO 5 MVA, 34,5/13,8 KV - 60HZ</t>
  </si>
  <si>
    <t>VENEIRAN</t>
  </si>
  <si>
    <t>COJEDES VENEIRAN</t>
  </si>
  <si>
    <t>TRANFORMADOR DE POTENCIA TRIFASICO 10 MVA, 34,5/13,8 KV - 60HZ, MARCA:SIEMENS</t>
  </si>
  <si>
    <t>ZONA INDUSTRIAL</t>
  </si>
  <si>
    <t>COJEDES ZONA INDUSTRIAL</t>
  </si>
  <si>
    <t>TRANFORMADOR DE POTENCIA TRIFASICO 15 MVA, 34,5/13,8 KV - 60HZ, MARCA:SIEMENS</t>
  </si>
  <si>
    <t xml:space="preserve">CAMAGUÁN </t>
  </si>
  <si>
    <t xml:space="preserve">GUARICO CAMAGUÁN </t>
  </si>
  <si>
    <t>TP1</t>
  </si>
  <si>
    <t>Relación 34,5/13,8 KV,servio continuo, Dyn5, 60Hz,ONANN,Trifasico, 10Mva.</t>
  </si>
  <si>
    <t>CARUTAL</t>
  </si>
  <si>
    <t>GUARICO CARUTAL</t>
  </si>
  <si>
    <t>CAZORLA</t>
  </si>
  <si>
    <t>GUARICO CAZORLA</t>
  </si>
  <si>
    <t>Relación 34,5/13,8 KV,servio continuo, Dyn5, 60Hz,ONANN,Trifasico, 5Mva.</t>
  </si>
  <si>
    <t>GUARICO CHAGUARAMAS</t>
  </si>
  <si>
    <t>GUARICO DOS CAMINOS</t>
  </si>
  <si>
    <t>EL SOCORRO</t>
  </si>
  <si>
    <t>GUARICO EL SOCORRO</t>
  </si>
  <si>
    <t>ESPINO</t>
  </si>
  <si>
    <t>GUARICO ESPINO</t>
  </si>
  <si>
    <t>Relación 34,5/13,8 KV,servio continuo, Dyn5, 60Hz,ONANN,Trifasico, 5 Mva.</t>
  </si>
  <si>
    <t>HOSPITAL ZARAZA</t>
  </si>
  <si>
    <t>GUARICO HOSPITAL ZARAZA</t>
  </si>
  <si>
    <t>LAS CAMAZAS</t>
  </si>
  <si>
    <t>GUARICO LAS CAMAZAS</t>
  </si>
  <si>
    <t>Relación 34,5/13,8 KV,servio continuo, Dyn5, 60Hz,ONANN,Trifasico, 10 Mva.</t>
  </si>
  <si>
    <t>LAS MERCEDES</t>
  </si>
  <si>
    <t>GUARICO LAS MERCEDES</t>
  </si>
  <si>
    <t>LIBERTAD</t>
  </si>
  <si>
    <t>GUARICO LIBERTAD</t>
  </si>
  <si>
    <t>Relación 34,5/13,8 KV,servio continuo, Dyn5, 60Hz,ONANN,Trifasico, 3 Mva.</t>
  </si>
  <si>
    <t>PASO REAL</t>
  </si>
  <si>
    <t>GUARICO PASO REAL</t>
  </si>
  <si>
    <t>SAN JOSÉ DE TIZNADO</t>
  </si>
  <si>
    <t>GUARICO SAN JOSÉ DE TIZNADO</t>
  </si>
  <si>
    <t>SAN JOSÉ DE UNARE</t>
  </si>
  <si>
    <t>GUARICO SAN JOSÉ DE UNARE</t>
  </si>
  <si>
    <t>SAN RAFAEL DE LAYA</t>
  </si>
  <si>
    <t>GUARICO SAN RAFAEL DE LAYA</t>
  </si>
  <si>
    <t>Relación 34,5/13,8 KV,servio continuo, Dyn5, 60Hz,ONANN,Trifasico, 2,5 Mva.</t>
  </si>
  <si>
    <t>SANTA EDELMIRA</t>
  </si>
  <si>
    <t>GUARICO SANTA EDELMIRA</t>
  </si>
  <si>
    <t>SANTA MARIA</t>
  </si>
  <si>
    <t>GUARICO SANTA MARIA</t>
  </si>
  <si>
    <t>TUCUPIDO</t>
  </si>
  <si>
    <t>GUARICO TUCUPIDO</t>
  </si>
  <si>
    <t>CATA</t>
  </si>
  <si>
    <t>ARAGUA CATA</t>
  </si>
  <si>
    <t>Tx I</t>
  </si>
  <si>
    <t>TRX TRIFASICO DE POTENCIA DE 10 MVA, TENSION NOMINAL 34,500-13,800Y/7970, FASES 3; FRECUENCIA 60HZ; A Enfriamiento ONAM, Grupo Vectorial Dyn5, Nivel de Aislamiento AT 36/200/70-BT:17,5/110/38. MARCA SIEMENS</t>
  </si>
  <si>
    <t>CUMBOTO</t>
  </si>
  <si>
    <t>ARAGUA CUMBOTO</t>
  </si>
  <si>
    <t>TRX TRIFASICO DE POTENCIA DE5 MVA, TENSION NOMINAL 34,500-13,800Y/7970, FASES 3; FRECUENCIA 60HZ; A Enfriamiento ONAM, Grupo Vectorial Dyn5, Nivel de Aislamiento AT 36/200/70-BT:17,5/110/38. MARCA CAIVET.</t>
  </si>
  <si>
    <t>INDEPENDENCIA</t>
  </si>
  <si>
    <t>ARAGUA INDEPENDENCIA</t>
  </si>
  <si>
    <t>TRX TRIFASICO DE POTENCIA DE 10 MVA, TENSION NOMINAL 34,500-13,800Y/7970, FASES 3; FRECUENCIA 60HZ; A Enfriamiento ONAM, Grupo Vectorial Dyn5, Nivel de Aislamiento AT 36/200/70-BT:17,5/110/38. MARCA CAIVET.</t>
  </si>
  <si>
    <t>Tx II</t>
  </si>
  <si>
    <t>LOS TANQUES</t>
  </si>
  <si>
    <t>ARAGUA LOS TANQUES</t>
  </si>
  <si>
    <t>TRX TRIFASICO DE POTENCIA DE 15 MVA, TENSION NOMINAL 34,500-13,800Y/7970, FASES 3; FRECUENCIA 60HZ; A Enfriamiento ONAM - ONAF Grupo Vectorial Dyn5, Nivel de Aislamiento AT 36/200/70-BT:17,5/110/38. MARCA UROTRANFORT</t>
  </si>
  <si>
    <t>PEDREGAL</t>
  </si>
  <si>
    <t>ARAGUA PEDREGAL</t>
  </si>
  <si>
    <t>TRX TRIFASICO DE POTENCIA DE 10 MVA, TENSION NOMINAL 34,500-13,800Y/7970, FASES 3; FRECUENCIA 60HZ; A Enfriamiento ONAM, Grupo Vectorial Dyn5, Nivel de Aislamiento AT 36/200/70-BT:17,5/110/38. MARCA POWER TRAFO</t>
  </si>
  <si>
    <t>SAN CASIMIRO</t>
  </si>
  <si>
    <t>ARAGUA SAN CASIMIRO</t>
  </si>
  <si>
    <t>TRX TRIFASICO DE POTENCIA DE 15 MVA, TENSION NOMINAL 34,500-13,800Y/7970, FASES 3; FRECUENCIA 60HZ; A Enfriamiento ONAM - ONAF, Grupo Vectorial Dyn5, Nivel de Aislamiento AT 36/200/70-BT:17,5/110/38. MARCA WEB</t>
  </si>
  <si>
    <t>SAN SEBASTIÁN</t>
  </si>
  <si>
    <t>ARAGUA SAN SEBASTIÁN</t>
  </si>
  <si>
    <t>TRX TRIFASICO DE POTENCIA DE 10 MVA, TENSION NOMINAL 34,500-13,800Y/7970, FASES 3; FRECUENCIA 60HZ; A Enfriamiento ONAM, Grupo Vectorial Dyn5, Nivel de Aislamiento AT 36/200/70-BT:17,5/110/38. MARCA CAIVET</t>
  </si>
  <si>
    <t>TIARA</t>
  </si>
  <si>
    <t>ARAGUA TIARA</t>
  </si>
  <si>
    <t>TOCORÓN</t>
  </si>
  <si>
    <t>ARAGUA TOCORÓN</t>
  </si>
  <si>
    <t>TRX TRIFASICO DE POTENCIA DE 10 MVA, TENSION NOMINAL 34,500-13,800Y/7970, FASES 3; FRECUENCIA 60HZ; A Enfriamiento ONAM, Grupo Vectorial Dyn5, Nivel de Aislamiento AT 36/200/70-BT:17,5/110/38. MARCA HYUNDAI</t>
  </si>
  <si>
    <t>NOMBRE DE LA INSTALACION</t>
  </si>
  <si>
    <t>NIVEL DE TENSION DE LA INSTALACION</t>
  </si>
  <si>
    <t>CAPACIDAD</t>
  </si>
  <si>
    <t>NOMBRE DEL PROYECTO</t>
  </si>
  <si>
    <t>DESCRIPCION DEL PROYECTO</t>
  </si>
  <si>
    <t>Suma de MONTO INVERSIÓN</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</si>
  <si>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</si>
  <si>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</si>
  <si>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MOVIL SAN MATEO</t>
  </si>
  <si>
    <t>RECUPERACION DE LA SUBESTACIÓN MOVIL  SAN MATEO 34,5/13,8 KV, ESTADO ANZOATEGUI.</t>
  </si>
  <si>
    <t>REPOSICIÓN DE TRANSFORMADOR  DAÑADO DE 10 MVA PARA RECUPERACION DE LA UNIDAD MOVIL SAN MATEO .</t>
  </si>
  <si>
    <t>NORMALIZACION DE LA SUBESTACION DE DISTRIBUCION SAN JOSE DE GUARIBE 34,5</t>
  </si>
  <si>
    <t>SUSTITUCION DE UN TRANSFORMADOR DE POTENCIA DE 5 MW POR UNO DE 10 MW, EL CUAL PRESENTA PROBLEMAS DE AISLAMIENTO Y SE ENCUANTRA OBSOLETO SUS COMPOMENTES</t>
  </si>
  <si>
    <t>(en blanco)</t>
  </si>
  <si>
    <t>REHABILITACIÓN DE SUBESTACION EL NULA</t>
  </si>
  <si>
    <t>INSTALACIÓN TRANSFORMADOR DE 10 MVA POR AUMENTO DE CAPACIDAD,  INSTALACIÓN DE INTERRUPTOR 34.5 KV 600 AMP NOMINAL  15 KA ICC, RECONECTADOR EN VACIO 13.8KV 110KV, ADECUACIÓN DE SALIDAS DE CIRCUITOS, SUSTITUCIÓN DE SECCIONADORES MONOP 13.8KV 630A 110KVBIL,</t>
  </si>
  <si>
    <t>REHABILITACIÓN DE SUBESTACIÓN LOS SILOS</t>
  </si>
  <si>
    <t>INSTALACIÓN TRANSFORMADOR DE 10 MVA POR AUMENTO DE CAPACIDAD,  INSTALACIÓN DE INTERRUPTOR 34.5 KV 600 AMP NOMINAL  15 KA ICC, RECONECTADOR EN VACIO 13.8KV 110KV, ADECUACION DE SALIDAS DE CIRCUITOS, SUSTITUCION DE SECCIONADORES MONOP 13.8KV 630A 110KVBIL,</t>
  </si>
  <si>
    <t>SUBESTACION ALTOBARINAS 34,5/13,8 KV.</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</si>
  <si>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</si>
  <si>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</si>
  <si>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</si>
  <si>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</si>
  <si>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RECUPEACIÓN DE SUB ESTACIÓN HIGUEROTE I</t>
  </si>
  <si>
    <t>CAMBIO DE TRANSFORMADOR DE POTENCIA DE 10 MVA DAÑADO ADECUACIÓN DE LAS PROTECCIONES DE ENTRADA A LOS TRANSFORMADORES DE POTENCIA, MANTENIMIENTO MAYOR A TANSFORMADOR DE POTENCIA DE 10 MVA ACTUALMENTE ACTIVO, INSTALACIÓN DE PROTECCIÓN DIFERENCIAL E INSTALAC</t>
  </si>
  <si>
    <t>S/E MAJAGUAS</t>
  </si>
  <si>
    <t>ADECUACIÓN DE  S/E  MAJAGUAS  EN 34,5 KV / 13,8 KV (1X10 MVA)</t>
  </si>
  <si>
    <t>PARA LA RECUPERACION  DE LA SUBESTACIÓN MAJAGUAS  34,5KV/13,8 KV   SE AMERITA LA SUSTITUCIÓN  DEL TRANSFORMADOR FALLADO DE 10 MVA , UN RECONECTADOR EN 34,5 KV Y 03 RECONECTADORES EN 13,8 KV,  01 TRASNFORMADOR DE 15 KVA</t>
  </si>
  <si>
    <t>GUARAUNO 34,5/13,8 KV</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</si>
  <si>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</si>
  <si>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</si>
  <si>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AGUA DULCE</t>
  </si>
  <si>
    <t>INSTALACIÓN DE TRANSFORMADOR DE 10 MVA, PARA NORMALIZAR LAS CARGAS ASOCIADAS A LA SUBESTACIÓN DE DISTRIBUCIÓN AGUA DULCE</t>
  </si>
  <si>
    <t>INSTALACIÓN DE TRANSFORMADOR DE 10 MVA PARA NORMALIZAR LA CARGA TRANSFERIDA AL TXP Nª1, LA CUAL FUE TRANSFERIDA POR LA MOVILIZACIÓN DEL TXP Nª2 POR EMERGENCIA HACIA LA SUBESTACIÓN OROPE 34,5/13,8KV.</t>
  </si>
  <si>
    <t>INSTALACIÓN DE TRANSFORMADOR DE 10 MVA PARA AUMENTO DE CAPACIDAD DE LA SUBESTACIÓN CAPACHO</t>
  </si>
  <si>
    <t>AUMENTO DE CAPACIDAD EN LA SUBESTACIÓN PASANDO DE 1X10 MVA A  2X10 MVA.</t>
  </si>
  <si>
    <t>SUSTITUCIÓN DE TRANSFORMADOR DE 10 MVA AVERIADO Y ADECUACIÓN DE SALIDAS DE LOS CIRCUITOS PERTENECIENTES A LA SUBESTACIÓN PALMIRA</t>
  </si>
  <si>
    <t>SUSTITUCIÓN DEL TRANSFORMADOR Nª1 DE 1X10 MVA FALLADO, DEBIDO A QUE SE SE SUSTITUYO POR UNO DE 5MVA Y ACTUALMENTE EL 60% DE LA CARGA DE LA BAHIA 1 SE ENCUENTRA TRANSFERIDA A OTRAS SUBESTACIONES ALEDAÑAS</t>
  </si>
  <si>
    <t>SUBESTACIÓN EL JAGÜITO</t>
  </si>
  <si>
    <t>RECUPERAR LA CAPACIDAD FIRME DE LA SUBESTACIÓN EL JAGÜITO DE 1X10 MVA  A 2X10 MVA</t>
  </si>
  <si>
    <t>DEVOLVER A SUS CONDICIONES INICIALES LA SUBESTACIÓN EL JAGÜITO 34,5/13,8 KV A TRAVÉS DE LA REACTIVACIÓN DE LA BAHIA N° 2.</t>
  </si>
  <si>
    <t>SUBESTACIÓN JARDÍN</t>
  </si>
  <si>
    <t xml:space="preserve"> SUSTITUCIÓN DEL TRANSFORMADOR DAÑADO DE 1X10 MVA EN LA SUBESTACIÓN JARDÍN</t>
  </si>
  <si>
    <t>RECUPERAR UNA DE LAS BAHIAS FUERA DE SERVICIO DE LA SUBESTACIÓN JARDÍN 34,5/13,8 KV A TRAVÉS DE LA SUSTITUCIÓN DEL TRANSFORMADOR DAÑADO 1X10 MVA</t>
  </si>
  <si>
    <t>SUBESTACIÓN MENDOZA 34,5/13,8</t>
  </si>
  <si>
    <t>REHABILITACIÓN SUBESTACIÓN SABANA DE MENDOZA 34,5/13,8KV 1X10MVA</t>
  </si>
  <si>
    <t>REHABILITACIÓN Y PUESTA EN SERVICIO DE LA SUBESTACIÓN SABANA DE MENDOZA 34,5/13,8KV</t>
  </si>
  <si>
    <t>SUBESTACIÓN SAN JACINTO</t>
  </si>
  <si>
    <t>REHABILITACIÓN Y AUMENTO CAPACIDAD SUBESTACIÓN SAN JACINTO DE  1X2,65 MVA A 1X10 MVA</t>
  </si>
  <si>
    <t>REHABILITACIÓN, AMPLIACIÓN Y MEJORA DE LA SUBESTACIÓN SAN JACINTO 34,5/13,8 KV A TRAVÉS DEL AUMENTO DE CAPACIDAD Y PUESTA EN SERVICIO UN TRANSFORMADOR DE 10 MVA</t>
  </si>
  <si>
    <t>RECUPERACIÓN DE LA SUBESTACIÓN SAN ROQUE DEL ESTADO ZULIA</t>
  </si>
  <si>
    <t>INSTALACION DE 2 TXS DE POTENCIA DE 10 MVA, ASI COMO DEMAS ELEMENTOS PTS, CTS, SECCIONADORES DEL LADO ALTA Y BAJA DEL C DE POTENCIA, INTERRUPTOTES PARA LA SALIDA DE LOS CIRCUITOS DE DISTRIBUCI{ON</t>
  </si>
  <si>
    <t>FECHA DE ACTUALIZACION</t>
  </si>
  <si>
    <t>ACTUALIZADO 15/08/2025</t>
  </si>
  <si>
    <t>ACTUALIZADO 20/08/2025</t>
  </si>
  <si>
    <t>Etiquetas de fila</t>
  </si>
  <si>
    <t>Total general</t>
  </si>
  <si>
    <t>Recuento de CAPACIDAD INSTALADA EN LA SUBESTACION (MW)</t>
  </si>
  <si>
    <t>Etiquetas de columna</t>
  </si>
  <si>
    <t>FALCON</t>
  </si>
  <si>
    <t xml:space="preserve"> DABAJURO</t>
  </si>
  <si>
    <t>FALCON  DABAJURO</t>
  </si>
  <si>
    <t>MARCA: HYUNDAI; SERIAL: T98417; A. FAB. 1998; Vcc: 6,09%; RELACION: 34,5/13,8 kV; CAPACIDAD: 10 MVA; GRUPO VECT.: DyN5; P. TOTAL: 26.500; REFR.: ONAN; FRECU: 60 Hz; MATER: COBRE; CAMB TOM: SIN TENSION; N° DE TAP: 9 (36.225-29.325)V</t>
  </si>
  <si>
    <t>BASE NAVAL</t>
  </si>
  <si>
    <t>FALCON BASE NAVAL</t>
  </si>
  <si>
    <t xml:space="preserve">MARCA: PAUWELS TRAFO; SERIAL: 7639904; Vcc: 7,09%; RELACION: 34,5/13,8 kV; CAPACIDAD: 10 MVA; GRUPO VECT: DyN5; REFREG.: ONAN; FREC: 60 Hz; MATER.: COBRE; CAMB TOM: SIN TENSION.
</t>
  </si>
  <si>
    <t>TP2</t>
  </si>
  <si>
    <t>MARCA: SIEMENS; SERIAL: 82925; Vcc: 11,5%; RELACION 34,5/13,8 kV; CAPACIDAD: 10 MVA; GRUPO VECT: DyN5; REFRIG.: ONAN; FREC.: 60 Hz; MATERIAL: COBRE; CAMB. TOM: SIN TENSION</t>
  </si>
  <si>
    <t>BOCA DE AROA</t>
  </si>
  <si>
    <t>FALCON BOCA DE AROA</t>
  </si>
  <si>
    <t>MARCA: CAIVET; SERIAL: 2606100; Zcc: 6,3 %; RELACION: 34,5/13,8 kV; CAPACIDAD: 10 MVA; GRUPA VECT.: DyN5; REFRIG.: ONAN; FREC: 60 Hz; MATER.: COBRE; CAMB. TOM: SIN TENSIO.
AUN NO ESTA EN SERVICIO PORQUE PERSONAL DE TRANSMISION NO HA CABLEADO EL TABLERO.</t>
  </si>
  <si>
    <t xml:space="preserve">MARCA: EFACEC; SERIAL: F000384; A. FAB.: 2010;  Zcc: 9,01%; REALCION: 34,5/13,8 kV; CAPACIDA: 15MVA; GRUPO VECT.: DyN5; REFRIG.: ONAF; FREC.:60 Hz.; MATERIAL: COBRE; CAMB. TOM.: SIN TENSION; </t>
  </si>
  <si>
    <t>BOLÍVARIANA</t>
  </si>
  <si>
    <t>FALCON BOLÍVARIANA</t>
  </si>
  <si>
    <t>MARCA: URUTRANSFOR; SERIAL: A429002; AÑO FAB.: 2014; Vcc: 6,36/6,23/5,88 %; RELACION:34,5/13,8 kV; CAPACIDAD: 12/15 MVA; GRUPO VECT.: DyN5; PESO TOTAL: 25.500 kg.: REFRIG.: ONAF; FREC.: 60 Hz.; NORMA: IEC-60076; MATERIAL: COBRE; PASOS CAMB.: 17 (36.225-29.325)V; CAMB. TOM.: SIN TENSION</t>
  </si>
  <si>
    <t>MARCA: ARGO; SERIAL: 54558; Zcc: 5,7%; RELACION: 34,5/13,8 kV; CAPACIDAD: 10 MVA; GRUPO VECT.: DyN5; PESO TOTAL: 18.700 kg.; REFRIG.: ONAN; FREC.: 60 Hz.; MATERIAL: COBRE; PASOS CAMB.: 5 (36.225-32.775) V; CAMB. TOM.: SIN TENSION</t>
  </si>
  <si>
    <t>CHICHIRIVICHE I (PATIO DE DISTRIBUCION)</t>
  </si>
  <si>
    <t>FALCON CHICHIRIVICHE I (PATIO DE DISTRIBUCION)</t>
  </si>
  <si>
    <t>EN ESTA SUBESTACION HABIAN 2 TP DE 10 MVA MARCA HYUNDAI, UN TP DE 5 MVA Y UNA MOVIL DE 10 MVA Y FUERON RERTIRADOS POR LA CORPORACION.</t>
  </si>
  <si>
    <t>CHURUGUARA</t>
  </si>
  <si>
    <t>FALCON CHURUGUARA</t>
  </si>
  <si>
    <t>MARCA: SIEMENS; SERIAL: 311475; AÑO DE F.: 2011; RELACION: 34,5/13,8 kV; CAPACIDAD: 12/15 MVA; GRUPO VECT.: DyN5; REFRG.: ONAN; FREC.: 60 Hz; MATERIAL: COBRE; CAMB. TOM.: SIN TENSION</t>
  </si>
  <si>
    <t>CORO III</t>
  </si>
  <si>
    <t>FALCON CORO III</t>
  </si>
  <si>
    <t>MARCA: CAIVET; SERIAL: 2405288; Zcc: 7,3 %; RELACION: 34,5/13,8 kV; CAPACIDAD: 10 MVA: GRUPO VECT.: DyN5: REFRIG.: ONAN; FREC.: 60 Hz; MATERIAL: COBRE; CAMB. TOM.: SIN TENSION</t>
  </si>
  <si>
    <t>CUMAREBO I (PATIO DE DISTRIBUCION)</t>
  </si>
  <si>
    <t>FALCON CUMAREBO I (PATIO DE DISTRIBUCION)</t>
  </si>
  <si>
    <t>EN ESTA SUBESTACION HABIAN 2 TP DE 10 MVA MARCA HYUNDAI, SE LLEVO 1 PARA LA SUBESTACION MORUY POR FALLA DEL EXISTENTE, EL SEGUNDO TAMBIEN SE LLEVO PARA LA S/E  MORUY POR FALLA DEL ANTERIOR (SENGUN POR EXTRACION DEL ACEITE DIELECTRIOCO PERDIENDO AISLAMIENTO)</t>
  </si>
  <si>
    <t>FLAMINGO</t>
  </si>
  <si>
    <t>FALCON FLAMINGO</t>
  </si>
  <si>
    <t>MARCA: PAUWELS TRAFO; SERIAL: 7536076; F. FABR.: 1976; Zcc: 7,03%; RELACION: 34,5/13,8 kV; CAPACIDAD: 10 MVA; GRUPO VECT.: DyN11; PESO TOTAL: 18.000 kg.; REFRIG.: ONAN; FREC.: 60 Hz; NORMA: ANSI C57-IEC-NSE; MATERIAL: COBRE; PASOS CAMB.: 5 (36.225-32.775) V; CAMB. TOM.: SIN TENSION</t>
  </si>
  <si>
    <t>ISIRO III</t>
  </si>
  <si>
    <t>FALCON ISIRO III</t>
  </si>
  <si>
    <t xml:space="preserve">PLACA ILEGIBLE; RELACION: 34,5/13,8 kV; CAPACIDAD: 5 MVA; GRUPO VECT.: DyN5; REFRIG.: ONAN;  FREC.: 60 Hz;  MATERIAL: COBRE; CAMB, TOM.: SIN TENSION
</t>
  </si>
  <si>
    <t xml:space="preserve">LA SABANITA </t>
  </si>
  <si>
    <t xml:space="preserve">FALCON LA SABANITA </t>
  </si>
  <si>
    <t xml:space="preserve">MARCA: PAUWELS FRAFO; SERIAL: 7336903; Zcc: 6,2%; RELACION: 34,5/24 kV; CAPACIDAD; 10 MVA; GRUPO VECT.: DyN5; REFRIG.: ONAN; FREC.: 60Hz; MATERIAL: COBRE;  CAMB. TOM.: SIN TENSION
</t>
  </si>
  <si>
    <t>LA VELA I (SABANA LARGA)</t>
  </si>
  <si>
    <t>FALCON LA VELA I (SABANA LARGA)</t>
  </si>
  <si>
    <t>MARCA: HYUNDAI; SERIAL: S/S; AÑO FAB.: 1.998; Vcc: 6,3%; RELACION: 34,5/13,8; CAPACIDAD: 10 MVA; GRUPO VECT.: DyN5; PESO TOTAL: 26.500 kg.; REGRIG.: ONAN; FREC.: 60Hz; NORMA: IEC-76; MATERIAL: COBRE; PASOS CAMB.: 9 (36.225-29.325)V; CAMB. TOM.: SIN TENSION</t>
  </si>
  <si>
    <t>MARCA: WEG; SERIAL: 1016096674; AÑO FAB. 2013; Zcc; 8%; RELACION: 34,5/13,8 kV; CAPACIDAD: 10 MVA; GRUPO VECT.: DyN5; REFRIG.: ONAN; FREC.: 60 Hz; MATERIAL: COBRE; CAMB. TOM.: SIN TENSION</t>
  </si>
  <si>
    <t>LA VELA II (EL YABO)</t>
  </si>
  <si>
    <t>FALCON LA VELA II (EL YABO)</t>
  </si>
  <si>
    <t>MARCA: SIEMENS; SERIAL: 259538; AÑO FAB.: 2006; Zcc: 6,58%; RELACION: 34,5/13,8 kV;  CAPACIDAD: 10 MVA; GRUPO VECT.: DyN5; REFRIG.: ONAN; FREC.: 60 Hz; MATERIAL: COBRE; CAMB. TOM.: SIN TENSION</t>
  </si>
  <si>
    <t>8/10</t>
  </si>
  <si>
    <t xml:space="preserve">MARCA: MITSUBISHI SERIAL: 7336903; Zcc: 6,45%; RELACION: 34,5/13,8 kV; CAPACIDAD: 8/10 MVA; GRUPO VECT.: Yy0; REFRIG.: ONAF; FREC.: 60 Hz; MATERIAL: COBRE; CAMB. TOM.: SIN TENSION </t>
  </si>
  <si>
    <t xml:space="preserve">MANAURE </t>
  </si>
  <si>
    <t xml:space="preserve">FALCON MANAURE </t>
  </si>
  <si>
    <t>ESTA SUBESTACION YA NO ESTA OPERATIVA, TENIA TRES TRANSFORMADORES DE POTENCIA 1x20 (VANDALIZADO EN SITIO), 1x10 (VANDALIZADO EN SITIO) Y OTRO DE 10 MVA QUE FUE LLEVADO A AL S/E FLAMINGO POR FALLA DEL EXISTENTE.</t>
  </si>
  <si>
    <t>MENE MAUROA I (PATIO DE DSITROBUCION)</t>
  </si>
  <si>
    <t>FALCON MENE MAUROA I (PATIO DE DSITROBUCION)</t>
  </si>
  <si>
    <t>LOS DOS TP DE ESTA SUBESTACION UNO (8 MVA) SE LO LLEVO LA CORPORACION SEGUN PARA EL ESTADO BARINAS Y EL OTRO (10 MVA) SE LLEVO PARA LA SUBESTACION BOCA DE AROA POR FALLA DEL EXISTENCIA AUN ONO SE PONE EN SERVICIO.</t>
  </si>
  <si>
    <t>MIRIMIRE</t>
  </si>
  <si>
    <t>FALCON MIRIMIRE</t>
  </si>
  <si>
    <t xml:space="preserve">MARCA: PAUWEL TRAFO; SERIAL: 764702; ZCC: 7,16%; RELACION: 34,5/13,8 kV; CAPACIDAD: 10 MVA; GRUPO VECT.: DyN5; REFRIG.: ONAN; FREC.: 60 Hz; MATERIAL: COBRE; CAMB. TOM.: SIN TENSION
</t>
  </si>
  <si>
    <t>MV1</t>
  </si>
  <si>
    <t xml:space="preserve">MARCA: CAIVET: SERIAL: 1406D476; Zcc: 6%; RELACION: 34,5/13,8 KV; CAPACIDAD: 5 MVA; GRUPO VECT.: DyN5; REFRIG.: ONAF; FREC.: 60 Hz; MATERIAL: COBRE; CAMB. TOM.: SIN TENSION; MOVIL FUERA DE SERVICIO UBICADA EN LA SUBESTACION, SE DESCONETO POR FALLA DE LOS VENTILADORES
</t>
  </si>
  <si>
    <t xml:space="preserve">MORUY </t>
  </si>
  <si>
    <t xml:space="preserve">FALCON MORUY </t>
  </si>
  <si>
    <t>MARCA: HYUNDAI; SERIAL: T004017; AÑO FAB.: 2001; Vcc: 6,3% ; RELACION: 34,5/13,8 kV; CAPACIDAD: 10 MVA; GRUPO VECT.: DyN5; PESO TOTAL: 26.500 kg.; REFRIG.: ONAN; FREC.: 60 Hz. ; NORMA: IEC-76; MATERIAL: COBRE; PASOS CAMB.: 9 (36.225-29.325)V; CAMB. TOM.: SIN TENSION</t>
  </si>
  <si>
    <t>FALCON SABANETA</t>
  </si>
  <si>
    <t>MARCA: DOMINIT; SERIAL: 576123; Zcc: 6,7% ; RELACION: 34,5/13,8 kV; CAPACIDAD: 6 MVA; GRUPO VECT.: DyN5; REFRIG.: ONAN; FREC.: 60 Hz; MATERIAL: COBRE; CAMB. TOM.: SIN TENSION</t>
  </si>
  <si>
    <t>SAN JUAN DE LOS CAYOS</t>
  </si>
  <si>
    <t>FALCON SAN JUAN DE LOS CAYOS</t>
  </si>
  <si>
    <t>MARCA: SIEMENS; SERIAL: 311533; AÑO FAB.: 2011; Vcc: 9% ; RELACION: 34,5/13,8 kV; CAPACIDAD: 10 MVA; GRUPO VECT.: DyN5; REFRIG.: ONAN; FREC.: 60 Hz; MATERIAL: COBRE; CAMB. TOM.: SIN TENSION</t>
  </si>
  <si>
    <t>FALCON SANARE</t>
  </si>
  <si>
    <t>MARCA: HYUNDAI; SERIAL: T984251; AÑO FAB.: 1998; Vcc: 6,16/6,16/6,65 %; RELACION; 34,5/13,8 kV; CAPACIDAD: 10 MVA; GRUPO VECT.: DyN5; PESO TOTAL: 26.500 kg.; REFRIG.: ONAN; FREC.: 60 Hz; NORMA: C-76; MATERIAL: COBRE; PASOS CAMB. 9 (36.225-29.325)V; CAMB. TOM.: SIN TENSION</t>
  </si>
  <si>
    <t>SANTA CRUZ DE BUCARAL</t>
  </si>
  <si>
    <t>FALCON SANTA CRUZ DE BUCARAL</t>
  </si>
  <si>
    <t>MARCA: PAUWEL TRAFO; SERIAL: 7615913; AÑO FABR.: 1976; Zcc: 7,01 %; RELACION: 34,5/13,8 kV; CAPACIDAD: 5 MVA; GRUPO VECT.: DyN5; PESO TOTAL: 10.800 kg.; REFRIG.: ONAN; FREC.: 60 Hz; NORMA: ANSI-C57-NS-E; MATERIAL: COBRE; PASOS CAMB.: 5 (36.225-32.775)V; CAMB. TOM.: SIN TENSION</t>
  </si>
  <si>
    <t>TACUATO</t>
  </si>
  <si>
    <t>FALCON TACUATO</t>
  </si>
  <si>
    <t>MARCA: SIEMENS; SERIAL: NO LEGIBLE; Zcc: 7,82 %; RELACION: 34,5/13,8 kV; CAPACIDAD: 8 MVA; GRUPO VECT.: DyN5; REFRIG.: ONAN; FREC.: 60 Hz ; MATERIAL; COBRE; CAMB. TOM.: SIN TENSION</t>
  </si>
  <si>
    <t>TOCUYO DE LA COSTA</t>
  </si>
  <si>
    <t>FALCON TOCUYO DE LA COSTA</t>
  </si>
  <si>
    <t>MARCA: SIEMENS; SERIAL: 311534; AÑO FAB.: 2011; Vcc: 8,97 %; RELACION: 34,5/13,8 kV; CAPACIDAD: 10 MVA; GRUPO VECT.: DyN5; REFRIG.: ONAN; FREC.: 60 Hz; MATERIAL: COBRE; CAMB. TOM.: SIN TENSION</t>
  </si>
  <si>
    <t>URUMACO I (MOVIL DE 15 MVA)</t>
  </si>
  <si>
    <t>FALCON URUMACO I (MOVIL DE 15 MVA)</t>
  </si>
  <si>
    <t xml:space="preserve">MARCA:PAUWELS TRAFO; SERIAL: 8924040; Zcc: 9,28 %; RELACION: 34,5/13,8 kV; CAPACIDAD: 15 MVA; GRUPO VECT.: DyN5; REFRIG.: ONAF; FREC.: 60 Hz; MATERIAL: COBRE; CAMB. TOM.: SIN TENSION
</t>
  </si>
  <si>
    <t>YARACAL I (PATIO DE DISTRIBUCION)</t>
  </si>
  <si>
    <t>FALCON YARACAL I (PATIO DE DISTRIBUCION)</t>
  </si>
  <si>
    <t>EL TP DE ESTA SUBESTACION FUE LLEVADO PARA LA SUBESTACION SANARE EN EL AÑO 2010</t>
  </si>
  <si>
    <t>MARIZAPA</t>
  </si>
  <si>
    <t>MIRANDA MARIZAPA</t>
  </si>
  <si>
    <t xml:space="preserve">OCUMARE I </t>
  </si>
  <si>
    <t xml:space="preserve">MIRANDA OCUMARE I </t>
  </si>
  <si>
    <t>PAPARO</t>
  </si>
  <si>
    <t>MIRANDA PAPARO</t>
  </si>
  <si>
    <t>PARAÍSO</t>
  </si>
  <si>
    <t>MIRANDA PARAÍSO</t>
  </si>
  <si>
    <t>PUEBLO NUEVO</t>
  </si>
  <si>
    <t>MIRANDA PUEBLO NUEVO</t>
  </si>
  <si>
    <t xml:space="preserve">SAN JUAN II </t>
  </si>
  <si>
    <t xml:space="preserve">MIRANDA SAN JUAN II </t>
  </si>
  <si>
    <t>SANTA MARTA</t>
  </si>
  <si>
    <t>MIRANDA SANTA MARTA</t>
  </si>
  <si>
    <t>SANTA ROSA I</t>
  </si>
  <si>
    <t>MIRANDA SANTA ROSA I</t>
  </si>
  <si>
    <t xml:space="preserve">SANTA TERESA I </t>
  </si>
  <si>
    <t xml:space="preserve">MIRANDA SANTA TERESA I </t>
  </si>
  <si>
    <t>SARAO</t>
  </si>
  <si>
    <t>MIRANDA SARAO</t>
  </si>
  <si>
    <t>SOTILLO</t>
  </si>
  <si>
    <t>MIRANDA SOTILLO</t>
  </si>
  <si>
    <t xml:space="preserve">TAZON </t>
  </si>
  <si>
    <t xml:space="preserve">MIRANDA TAZON </t>
  </si>
  <si>
    <t>ACTUALIZAD16/09/2025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</si>
</sst>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indexed="8"/>
      <name val="Calibri"/>
      <family val="2"/>
    </font>
    <font>
      <sz val="11"/>
      <color theme="1"/>
      <name val="Calibri"/>
      <family val="2"/>
      <scheme val="minor"/>
    </font>
    <font>
      <b/>
      <sz val="11"/>
      <color theme="1"/>
      <name val="Calibri"/>
      <family val="2"/>
      <scheme val="minor"/>
    </font>
    <font>
      <sz val="11"/>
      <color indexed="8"/>
      <name val="Calibri"/>
      <family val="2"/>
    </font>
    <font>
      <b/>
      <sz val="10"/>
      <color theme="1"/>
      <name val="Calibri"/>
      <family val="2"/>
      <scheme val="minor"/>
    </font>
    <font>
      <sz val="11"/>
      <name val="Calibri"/>
      <family val="2"/>
      <scheme val="minor"/>
    </font>
    <font>
      <sz val="11"/>
      <color indexed="8"/>
      <name val="Calibri"/>
      <family val="2"/>
      <scheme val="minor"/>
    </font>
    <font>
      <sz val="11"/>
      <name val="Calibri"/>
      <family val="2"/>
    </font>
    <font>
      <b/>
      <sz val="9"/>
      <color indexed="81"/>
      <name val="Tahoma"/>
      <family val="2"/>
    </font>
    <font>
      <sz val="9"/>
      <color indexed="81"/>
      <name val="Tahoma"/>
      <family val="2"/>
    </font>
    <font>
      <sz val="11"/>
      <color rgb="FF000000"/>
      <name val="Calibri"/>
      <family val="2"/>
      <scheme val="minor"/>
    </font>
    <font>
      <b/>
      <sz val="10"/>
      <color theme="0"/>
      <name val="Calibri"/>
      <family val="2"/>
      <scheme val="minor"/>
    </font>
    <font>
      <sz val="11"/>
      <color indexed="8"/>
      <name val="Arial"/>
      <family val="2"/>
    </font>
    <font>
      <sz val="8"/>
      <color indexed="81"/>
      <name val="Tahoma"/>
      <family val="2"/>
    </font>
  </fonts>
  <fills count="14">
    <fill>
      <patternFill patternType="none"/>
    </fill>
    <fill>
      <patternFill patternType="gray125"/>
    </fill>
    <fill>
      <patternFill patternType="solid">
        <fgColor theme="6"/>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2" tint="-0.249977111117893"/>
        <bgColor indexed="64"/>
      </patternFill>
    </fill>
    <fill>
      <patternFill patternType="solid">
        <fgColor rgb="FF0070C0"/>
        <bgColor indexed="64"/>
      </patternFill>
    </fill>
    <fill>
      <patternFill patternType="solid">
        <fgColor rgb="FFFFC000"/>
        <bgColor indexed="64"/>
      </patternFill>
    </fill>
    <fill>
      <patternFill patternType="solid">
        <fgColor rgb="FFFFC000"/>
        <bgColor rgb="FFFFC000"/>
      </patternFill>
    </fill>
    <fill>
      <patternFill patternType="solid">
        <fgColor rgb="FF00206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3366"/>
      </left>
      <right style="thin">
        <color rgb="FF003366"/>
      </right>
      <top style="thin">
        <color rgb="FF003366"/>
      </top>
      <bottom style="thin">
        <color rgb="FF003366"/>
      </bottom>
      <diagonal/>
    </border>
    <border>
      <left/>
      <right/>
      <top/>
      <bottom style="thin">
        <color theme="4" tint="0.39997558519241921"/>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s>
  <cellStyleXfs count="8">
    <xf numFmtId="0" fontId="0" fillId="0" borderId="0"/>
    <xf numFmtId="0" fontId="3" fillId="0" borderId="0"/>
    <xf numFmtId="0" fontId="3" fillId="0" borderId="0"/>
    <xf numFmtId="0" fontId="1" fillId="0" borderId="0"/>
    <xf numFmtId="0" fontId="1" fillId="0" borderId="0"/>
    <xf numFmtId="0" fontId="3" fillId="0" borderId="0"/>
    <xf numFmtId="0" fontId="1" fillId="0" borderId="0"/>
    <xf numFmtId="0" fontId="3" fillId="0" borderId="0"/>
  </cellStyleXfs>
  <cellXfs count="85">
    <xf numFmtId="0" fontId="0" fillId="0" borderId="0" xfId="0"/>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xf numFmtId="0" fontId="5" fillId="0" borderId="1" xfId="0" applyFont="1" applyBorder="1" applyAlignment="1">
      <alignment horizontal="center" vertical="center"/>
    </xf>
    <xf numFmtId="0" fontId="5" fillId="8" borderId="1" xfId="0" applyFont="1" applyFill="1" applyBorder="1" applyAlignment="1">
      <alignment horizontal="center" vertical="center"/>
    </xf>
    <xf numFmtId="0" fontId="7" fillId="0" borderId="1" xfId="0" applyFont="1" applyBorder="1" applyAlignment="1">
      <alignment horizontal="center" vertical="center"/>
    </xf>
    <xf numFmtId="0" fontId="7" fillId="8"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1" applyFont="1" applyFill="1" applyBorder="1" applyAlignment="1">
      <alignment horizontal="center" vertical="center"/>
    </xf>
    <xf numFmtId="0" fontId="6" fillId="0" borderId="0" xfId="0" applyFont="1" applyAlignment="1">
      <alignment horizontal="center" vertical="center"/>
    </xf>
    <xf numFmtId="0" fontId="5" fillId="0" borderId="1" xfId="0" applyFont="1" applyFill="1" applyBorder="1" applyAlignment="1">
      <alignment horizontal="center" vertical="center"/>
    </xf>
    <xf numFmtId="0" fontId="6" fillId="0" borderId="0" xfId="0" applyFont="1" applyFill="1"/>
    <xf numFmtId="0" fontId="6" fillId="0" borderId="0" xfId="0" applyFont="1" applyFill="1" applyAlignment="1">
      <alignment horizontal="center" vertical="center"/>
    </xf>
    <xf numFmtId="0" fontId="7" fillId="0" borderId="1" xfId="0" applyNumberFormat="1" applyFont="1" applyFill="1" applyBorder="1" applyAlignment="1">
      <alignment horizontal="center" vertical="center"/>
    </xf>
    <xf numFmtId="0" fontId="0" fillId="8" borderId="0" xfId="0" applyFill="1"/>
    <xf numFmtId="4"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4" fontId="5" fillId="0" borderId="1" xfId="0" applyNumberFormat="1" applyFont="1" applyFill="1" applyBorder="1" applyAlignment="1">
      <alignment horizontal="center" vertical="center"/>
    </xf>
    <xf numFmtId="2" fontId="7"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2" fontId="7" fillId="0" borderId="1" xfId="0" applyNumberFormat="1" applyFont="1" applyFill="1" applyBorder="1" applyAlignment="1">
      <alignment horizontal="center" vertical="center"/>
    </xf>
    <xf numFmtId="1" fontId="7" fillId="0" borderId="1" xfId="0" applyNumberFormat="1" applyFont="1" applyFill="1" applyBorder="1" applyAlignment="1">
      <alignment horizontal="center" vertical="center"/>
    </xf>
    <xf numFmtId="0" fontId="7" fillId="0" borderId="2" xfId="0" applyFont="1" applyBorder="1" applyAlignment="1">
      <alignment horizontal="center" vertical="center"/>
    </xf>
    <xf numFmtId="0" fontId="7" fillId="9" borderId="2" xfId="0" applyFont="1" applyFill="1" applyBorder="1" applyAlignment="1">
      <alignment horizontal="center" vertical="center"/>
    </xf>
    <xf numFmtId="4" fontId="7" fillId="0" borderId="2" xfId="0" applyNumberFormat="1" applyFont="1" applyBorder="1" applyAlignment="1">
      <alignment horizontal="center" vertical="center"/>
    </xf>
    <xf numFmtId="0" fontId="7" fillId="0" borderId="2" xfId="0" applyFont="1" applyBorder="1" applyAlignment="1">
      <alignment horizontal="center" vertical="center" wrapText="1"/>
    </xf>
    <xf numFmtId="0" fontId="10" fillId="0" borderId="0" xfId="0" applyFont="1" applyAlignment="1">
      <alignment horizontal="center" vertical="center" readingOrder="1"/>
    </xf>
    <xf numFmtId="0" fontId="7" fillId="0" borderId="3" xfId="0" applyFont="1" applyBorder="1" applyAlignment="1">
      <alignment horizontal="center" vertical="center"/>
    </xf>
    <xf numFmtId="0" fontId="7" fillId="9" borderId="3" xfId="0" applyFont="1" applyFill="1" applyBorder="1" applyAlignment="1">
      <alignment horizontal="center" vertical="center"/>
    </xf>
    <xf numFmtId="4" fontId="7" fillId="0" borderId="3" xfId="0" applyNumberFormat="1" applyFont="1" applyBorder="1" applyAlignment="1">
      <alignment horizontal="center" vertical="center"/>
    </xf>
    <xf numFmtId="4" fontId="7" fillId="0" borderId="1" xfId="0" applyNumberFormat="1" applyFont="1" applyBorder="1" applyAlignment="1">
      <alignment horizontal="center" vertical="center"/>
    </xf>
    <xf numFmtId="49" fontId="5" fillId="0" borderId="1" xfId="0" applyNumberFormat="1" applyFont="1" applyFill="1" applyBorder="1" applyAlignment="1">
      <alignment horizontal="center" vertical="center"/>
    </xf>
    <xf numFmtId="0" fontId="7" fillId="0" borderId="1" xfId="0" applyFont="1" applyBorder="1" applyAlignment="1">
      <alignment horizontal="justify" vertical="center"/>
    </xf>
    <xf numFmtId="0" fontId="7" fillId="8" borderId="1" xfId="0" applyFont="1" applyFill="1" applyBorder="1" applyAlignment="1">
      <alignment horizontal="justify" vertical="center"/>
    </xf>
    <xf numFmtId="0" fontId="5" fillId="0" borderId="1" xfId="0" applyFont="1" applyBorder="1" applyAlignment="1">
      <alignment horizontal="justify" vertical="center"/>
    </xf>
    <xf numFmtId="0" fontId="7" fillId="0" borderId="1" xfId="0" applyNumberFormat="1" applyFont="1" applyFill="1" applyBorder="1" applyAlignment="1">
      <alignment horizontal="justify" vertical="center"/>
    </xf>
    <xf numFmtId="0" fontId="5" fillId="0" borderId="1" xfId="0" applyFont="1" applyFill="1" applyBorder="1" applyAlignment="1">
      <alignment horizontal="justify" vertical="center"/>
    </xf>
    <xf numFmtId="0" fontId="7" fillId="0" borderId="1" xfId="0" applyFont="1" applyFill="1" applyBorder="1" applyAlignment="1">
      <alignment horizontal="justify" vertical="center"/>
    </xf>
    <xf numFmtId="0" fontId="5" fillId="8" borderId="1" xfId="0" applyFont="1" applyFill="1" applyBorder="1" applyAlignment="1">
      <alignment horizontal="justify" vertical="center"/>
    </xf>
    <xf numFmtId="4" fontId="5" fillId="0" borderId="1" xfId="0" applyNumberFormat="1" applyFont="1" applyFill="1" applyBorder="1" applyAlignment="1">
      <alignment horizontal="justify" vertical="center"/>
    </xf>
    <xf numFmtId="2" fontId="7" fillId="0" borderId="1" xfId="0" applyNumberFormat="1" applyFont="1" applyFill="1" applyBorder="1" applyAlignment="1">
      <alignment horizontal="justify" vertical="center"/>
    </xf>
    <xf numFmtId="1" fontId="7" fillId="0" borderId="1" xfId="0" applyNumberFormat="1" applyFont="1" applyFill="1" applyBorder="1" applyAlignment="1">
      <alignment horizontal="justify" vertical="center"/>
    </xf>
    <xf numFmtId="0" fontId="7" fillId="0" borderId="2" xfId="0" applyFont="1" applyBorder="1" applyAlignment="1">
      <alignment horizontal="justify" vertical="center"/>
    </xf>
    <xf numFmtId="0" fontId="7" fillId="9" borderId="2" xfId="0" applyFont="1" applyFill="1" applyBorder="1" applyAlignment="1">
      <alignment horizontal="justify" vertical="center"/>
    </xf>
    <xf numFmtId="4" fontId="7" fillId="0" borderId="2" xfId="0" applyNumberFormat="1" applyFont="1" applyBorder="1" applyAlignment="1">
      <alignment horizontal="justify" vertical="center"/>
    </xf>
    <xf numFmtId="4" fontId="7" fillId="0" borderId="1" xfId="0" applyNumberFormat="1" applyFont="1" applyFill="1" applyBorder="1" applyAlignment="1">
      <alignment horizontal="justify" vertical="center"/>
    </xf>
    <xf numFmtId="49" fontId="5" fillId="0" borderId="1" xfId="0" applyNumberFormat="1" applyFont="1" applyFill="1" applyBorder="1" applyAlignment="1">
      <alignment horizontal="justify" vertical="center"/>
    </xf>
    <xf numFmtId="0" fontId="2" fillId="0" borderId="0" xfId="0" applyFont="1" applyAlignment="1">
      <alignment horizontal="center" vertical="center"/>
    </xf>
    <xf numFmtId="0" fontId="0" fillId="0" borderId="0" xfId="0" applyAlignment="1"/>
    <xf numFmtId="0" fontId="6" fillId="0" borderId="0" xfId="0" applyFont="1" applyFill="1" applyAlignment="1"/>
    <xf numFmtId="0" fontId="11" fillId="10" borderId="1" xfId="0" applyFont="1" applyFill="1" applyBorder="1" applyAlignment="1">
      <alignment horizontal="center" vertical="center" wrapText="1"/>
    </xf>
    <xf numFmtId="0" fontId="0" fillId="0" borderId="0" xfId="0" applyAlignment="1">
      <alignment vertical="center"/>
    </xf>
    <xf numFmtId="0" fontId="2" fillId="0" borderId="0" xfId="0" applyFont="1" applyAlignment="1">
      <alignment horizontal="justify" vertical="center"/>
    </xf>
    <xf numFmtId="0" fontId="0" fillId="0" borderId="0" xfId="0" applyAlignment="1">
      <alignment horizontal="justify" vertical="center"/>
    </xf>
    <xf numFmtId="4" fontId="0" fillId="0" borderId="0" xfId="0" applyNumberFormat="1" applyAlignment="1">
      <alignment horizontal="justify" vertical="center"/>
    </xf>
    <xf numFmtId="0" fontId="2" fillId="0" borderId="4" xfId="0" applyFont="1" applyBorder="1" applyAlignment="1">
      <alignment horizontal="justify" vertical="center"/>
    </xf>
    <xf numFmtId="0" fontId="2" fillId="0" borderId="0" xfId="0" applyFont="1" applyBorder="1" applyAlignment="1">
      <alignment horizontal="justify" vertical="center"/>
    </xf>
    <xf numFmtId="0" fontId="2" fillId="11" borderId="4" xfId="0" applyFont="1" applyFill="1" applyBorder="1" applyAlignment="1">
      <alignment horizontal="center" vertical="center"/>
    </xf>
    <xf numFmtId="0" fontId="5" fillId="0" borderId="5"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12" borderId="1" xfId="0" applyFill="1" applyBorder="1" applyAlignment="1">
      <alignment horizontal="center" vertical="center"/>
    </xf>
    <xf numFmtId="3" fontId="7" fillId="0" borderId="1" xfId="0" applyNumberFormat="1" applyFont="1" applyFill="1" applyBorder="1" applyAlignment="1">
      <alignment horizontal="center" vertical="center"/>
    </xf>
    <xf numFmtId="0" fontId="7" fillId="0" borderId="1" xfId="0" applyFont="1" applyFill="1" applyBorder="1" applyAlignment="1">
      <alignment horizontal="justify" vertical="center" wrapText="1"/>
    </xf>
    <xf numFmtId="3" fontId="12" fillId="0" borderId="6" xfId="7" applyNumberFormat="1" applyFont="1" applyFill="1" applyBorder="1" applyAlignment="1">
      <alignment horizontal="center" vertical="center" wrapText="1"/>
    </xf>
    <xf numFmtId="0" fontId="0" fillId="13" borderId="1" xfId="0" applyFill="1" applyBorder="1" applyAlignment="1">
      <alignment horizontal="left" vertical="center" wrapText="1"/>
    </xf>
    <xf numFmtId="0" fontId="5" fillId="0" borderId="1" xfId="0" applyFont="1" applyBorder="1" applyAlignment="1">
      <alignment horizontal="center" vertical="center" wrapText="1"/>
    </xf>
    <xf numFmtId="0" fontId="0" fillId="3" borderId="1" xfId="0" applyFill="1" applyBorder="1" applyAlignment="1">
      <alignment horizontal="center" vertical="center"/>
    </xf>
    <xf numFmtId="3" fontId="0" fillId="0" borderId="1" xfId="0" applyNumberFormat="1" applyFill="1" applyBorder="1" applyAlignment="1">
      <alignment horizontal="center" vertical="center"/>
    </xf>
    <xf numFmtId="0" fontId="0" fillId="0" borderId="1" xfId="0" applyFill="1" applyBorder="1" applyAlignment="1">
      <alignment horizontal="justify" vertical="center" wrapText="1"/>
    </xf>
    <xf numFmtId="0" fontId="0" fillId="0" borderId="1" xfId="0" applyFill="1" applyBorder="1" applyAlignment="1">
      <alignment horizontal="center" vertical="center"/>
    </xf>
    <xf numFmtId="3" fontId="7" fillId="0" borderId="1" xfId="0" quotePrefix="1" applyNumberFormat="1" applyFont="1" applyFill="1" applyBorder="1" applyAlignment="1">
      <alignment horizontal="center" vertical="center"/>
    </xf>
    <xf numFmtId="3" fontId="7" fillId="0" borderId="1" xfId="0" applyNumberFormat="1" applyFont="1" applyFill="1" applyBorder="1" applyAlignment="1">
      <alignment horizontal="center" vertical="center" wrapText="1"/>
    </xf>
    <xf numFmtId="3" fontId="7" fillId="0" borderId="1" xfId="0" applyNumberFormat="1" applyFont="1" applyFill="1" applyBorder="1" applyAlignment="1">
      <alignment horizontal="justify" vertical="center" wrapText="1"/>
    </xf>
    <xf numFmtId="0" fontId="0" fillId="13" borderId="1" xfId="0" applyFill="1" applyBorder="1" applyAlignment="1">
      <alignment horizontal="left" vertical="center"/>
    </xf>
    <xf numFmtId="0" fontId="0" fillId="13" borderId="1" xfId="0" applyFill="1" applyBorder="1" applyAlignment="1">
      <alignment horizontal="center" vertical="center" wrapText="1"/>
    </xf>
    <xf numFmtId="0" fontId="0" fillId="8" borderId="1" xfId="0" applyFill="1" applyBorder="1" applyAlignment="1">
      <alignment horizontal="center" vertical="center" wrapText="1"/>
    </xf>
    <xf numFmtId="0" fontId="7" fillId="0" borderId="0" xfId="0" applyFont="1" applyFill="1"/>
  </cellXfs>
  <cellStyles count="8">
    <cellStyle name="Normal" xfId="0" builtinId="0"/>
    <cellStyle name="Normal 5" xfId="2"/>
    <cellStyle name="Normal 6 3" xfId="7"/>
    <cellStyle name="Normal 7" xfId="1"/>
    <cellStyle name="Normal 84" xfId="5"/>
    <cellStyle name="Normal 87" xfId="6"/>
    <cellStyle name="Normal 88" xfId="3"/>
    <cellStyle name="Normal 89"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R6968992/CONFIG~1/Temp/Caracterizacion%20de%20la%20Carga%20Apure%2019-05-2014%20(MAYO)-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STRIBUCION%202024/DISTRIBUCION/CARACTERIZACION/CARACTERIZACION%20DE%20DISTRIBUCION/CARACTERIZACION%20%20DIAGNOSTICOS%202021%20v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P/Downloads/GESTION%20%20DE%20PLANIFICACION/PRTSEN/PRESENTACION%20PRTSEN/FICHA%20DIAGNOSTICO%20SUBESTACIONES-CIRCUIT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lListas"/>
      <sheetName val="Subestaciones"/>
      <sheetName val="TRX de Potencia"/>
      <sheetName val="Circuitos"/>
      <sheetName val="TRX de Distribucion"/>
    </sheetNames>
    <sheetDataSet>
      <sheetData sheetId="0" refreshError="1">
        <row r="2">
          <cell r="I2" t="str">
            <v>ARVIDAL # 6</v>
          </cell>
        </row>
        <row r="3">
          <cell r="I3" t="str">
            <v>ARVIDAL # 4</v>
          </cell>
        </row>
        <row r="4">
          <cell r="I4" t="str">
            <v>ARVIDAL # 2</v>
          </cell>
        </row>
        <row r="5">
          <cell r="I5" t="str">
            <v>ARVIDAL # 1/0</v>
          </cell>
        </row>
        <row r="6">
          <cell r="I6" t="str">
            <v>ARVIDAL # 2/0</v>
          </cell>
        </row>
        <row r="7">
          <cell r="I7" t="str">
            <v>ARVIDAL # 3/0</v>
          </cell>
        </row>
        <row r="8">
          <cell r="I8" t="str">
            <v>ARVIDAL # 4/0</v>
          </cell>
        </row>
        <row r="9">
          <cell r="I9" t="str">
            <v>ARVIDAL 266,8</v>
          </cell>
        </row>
        <row r="10">
          <cell r="I10" t="str">
            <v>ARVIDAL 336,4</v>
          </cell>
        </row>
        <row r="11">
          <cell r="I11" t="str">
            <v>ARVIDAL 397,5</v>
          </cell>
        </row>
        <row r="12">
          <cell r="I12" t="str">
            <v>ARVIDAL 477</v>
          </cell>
        </row>
        <row r="13">
          <cell r="I13" t="str">
            <v>ARVIDAL 556,5</v>
          </cell>
        </row>
        <row r="14">
          <cell r="I14" t="str">
            <v>ARVIDAL 636</v>
          </cell>
        </row>
        <row r="15">
          <cell r="I15" t="str">
            <v>ARVIDAL 795</v>
          </cell>
        </row>
        <row r="16">
          <cell r="I16" t="str">
            <v>ACSR # 6</v>
          </cell>
        </row>
        <row r="17">
          <cell r="I17" t="str">
            <v>ACSR # 4</v>
          </cell>
        </row>
        <row r="18">
          <cell r="I18" t="str">
            <v>ACSR # 2</v>
          </cell>
        </row>
        <row r="19">
          <cell r="I19" t="str">
            <v>ACSR # 1</v>
          </cell>
        </row>
        <row r="20">
          <cell r="I20" t="str">
            <v>ACSR # 1/0</v>
          </cell>
        </row>
        <row r="21">
          <cell r="I21" t="str">
            <v>ACSR # 2/0</v>
          </cell>
        </row>
        <row r="22">
          <cell r="I22" t="str">
            <v>ACSR # 3/0</v>
          </cell>
        </row>
        <row r="23">
          <cell r="I23" t="str">
            <v>ACSR # 4/0</v>
          </cell>
        </row>
        <row r="24">
          <cell r="I24" t="str">
            <v>ACSR 266,8</v>
          </cell>
        </row>
        <row r="25">
          <cell r="I25" t="str">
            <v>ACSR 300</v>
          </cell>
        </row>
        <row r="26">
          <cell r="I26" t="str">
            <v>ACSR 336,4</v>
          </cell>
        </row>
        <row r="27">
          <cell r="I27" t="str">
            <v>ACSR 397,5</v>
          </cell>
        </row>
        <row r="28">
          <cell r="I28" t="str">
            <v>ACSR 477</v>
          </cell>
        </row>
        <row r="29">
          <cell r="I29" t="str">
            <v>ACSR 556,5</v>
          </cell>
        </row>
        <row r="30">
          <cell r="I30" t="str">
            <v>ACSR 605</v>
          </cell>
        </row>
        <row r="31">
          <cell r="I31" t="str">
            <v>ACSR 636</v>
          </cell>
        </row>
        <row r="32">
          <cell r="I32" t="str">
            <v>ACSR 666,6</v>
          </cell>
        </row>
        <row r="33">
          <cell r="I33" t="str">
            <v>ACSR 715,5</v>
          </cell>
        </row>
        <row r="34">
          <cell r="I34" t="str">
            <v>ACSR 795</v>
          </cell>
        </row>
        <row r="35">
          <cell r="I35" t="str">
            <v>ACSR 900</v>
          </cell>
        </row>
        <row r="36">
          <cell r="I36" t="str">
            <v>ACSR 954</v>
          </cell>
        </row>
        <row r="37">
          <cell r="I37" t="str">
            <v>ACSR 1033,5</v>
          </cell>
        </row>
        <row r="38">
          <cell r="I38" t="str">
            <v>ACSR 1113</v>
          </cell>
        </row>
        <row r="39">
          <cell r="I39" t="str">
            <v>ACSR 1192,5</v>
          </cell>
        </row>
        <row r="40">
          <cell r="I40" t="str">
            <v>ACSR 1272</v>
          </cell>
        </row>
        <row r="41">
          <cell r="I41" t="str">
            <v>ACSR 1351,5</v>
          </cell>
        </row>
        <row r="42">
          <cell r="I42" t="str">
            <v>ACSR 1431</v>
          </cell>
        </row>
        <row r="43">
          <cell r="I43" t="str">
            <v>ACSR 1590</v>
          </cell>
        </row>
        <row r="44">
          <cell r="I44" t="str">
            <v>ACSR 1780</v>
          </cell>
        </row>
        <row r="45">
          <cell r="I45" t="str">
            <v>ACSR 2156</v>
          </cell>
        </row>
        <row r="46">
          <cell r="I46" t="str">
            <v>ACSR 2167</v>
          </cell>
        </row>
        <row r="47">
          <cell r="I47" t="str">
            <v>ACAR # 4</v>
          </cell>
        </row>
        <row r="48">
          <cell r="I48" t="str">
            <v>ACAR # 2</v>
          </cell>
        </row>
        <row r="49">
          <cell r="I49" t="str">
            <v>ACAR # 1/0</v>
          </cell>
        </row>
        <row r="50">
          <cell r="I50" t="str">
            <v>ACAR # 2/0</v>
          </cell>
        </row>
        <row r="51">
          <cell r="I51" t="str">
            <v>ACAR # 3/0</v>
          </cell>
        </row>
        <row r="52">
          <cell r="I52" t="str">
            <v>ACAR # 4/0</v>
          </cell>
        </row>
        <row r="53">
          <cell r="I53" t="str">
            <v>ACAR 250</v>
          </cell>
        </row>
        <row r="54">
          <cell r="I54" t="str">
            <v>ACAR 300</v>
          </cell>
        </row>
        <row r="55">
          <cell r="I55" t="str">
            <v>ACAR 350</v>
          </cell>
        </row>
        <row r="56">
          <cell r="I56" t="str">
            <v>ACAR 400</v>
          </cell>
        </row>
        <row r="57">
          <cell r="I57" t="str">
            <v>ACAR 450</v>
          </cell>
        </row>
        <row r="58">
          <cell r="I58" t="str">
            <v>ACAR 500</v>
          </cell>
        </row>
        <row r="59">
          <cell r="I59" t="str">
            <v>ACAR 550</v>
          </cell>
        </row>
        <row r="60">
          <cell r="I60" t="str">
            <v>ACAR 600</v>
          </cell>
        </row>
        <row r="61">
          <cell r="I61" t="str">
            <v>ACAR 650</v>
          </cell>
        </row>
        <row r="62">
          <cell r="I62" t="str">
            <v>ACAR 700</v>
          </cell>
        </row>
        <row r="63">
          <cell r="I63" t="str">
            <v>ACAR 750</v>
          </cell>
        </row>
        <row r="64">
          <cell r="I64" t="str">
            <v>ACAR 800</v>
          </cell>
        </row>
        <row r="65">
          <cell r="I65" t="str">
            <v>ACAR 850</v>
          </cell>
        </row>
        <row r="66">
          <cell r="I66" t="str">
            <v>ACAR 900</v>
          </cell>
        </row>
        <row r="67">
          <cell r="I67" t="str">
            <v>ACAR 950</v>
          </cell>
        </row>
        <row r="68">
          <cell r="I68" t="str">
            <v>ACAR 1000</v>
          </cell>
        </row>
        <row r="69">
          <cell r="I69" t="str">
            <v>ACAR 1100</v>
          </cell>
        </row>
        <row r="70">
          <cell r="I70" t="str">
            <v>ACAR 1200</v>
          </cell>
        </row>
        <row r="71">
          <cell r="I71" t="str">
            <v>ALUMINIO # 6</v>
          </cell>
        </row>
        <row r="72">
          <cell r="I72" t="str">
            <v>ALUMINIO # 4</v>
          </cell>
        </row>
        <row r="73">
          <cell r="I73" t="str">
            <v>ALUMINIO # 2</v>
          </cell>
        </row>
        <row r="74">
          <cell r="I74" t="str">
            <v>ALUMINIO # 1</v>
          </cell>
        </row>
        <row r="75">
          <cell r="I75" t="str">
            <v>ALUMINIO # 1/0</v>
          </cell>
        </row>
        <row r="76">
          <cell r="I76" t="str">
            <v>ALUMINIO # 2/0</v>
          </cell>
        </row>
        <row r="77">
          <cell r="I77" t="str">
            <v>ALUMINIO # 3/0</v>
          </cell>
        </row>
        <row r="78">
          <cell r="I78" t="str">
            <v>ALUMINIO # 4/0</v>
          </cell>
        </row>
        <row r="79">
          <cell r="I79" t="str">
            <v>ALUMINIO 250</v>
          </cell>
        </row>
        <row r="80">
          <cell r="I80" t="str">
            <v>ALUMINIO 266,8</v>
          </cell>
        </row>
        <row r="81">
          <cell r="I81" t="str">
            <v>ALUMINIO 300</v>
          </cell>
        </row>
        <row r="82">
          <cell r="I82" t="str">
            <v>ALUMINIO 336,4</v>
          </cell>
        </row>
        <row r="83">
          <cell r="I83" t="str">
            <v>ALUMINIO 350</v>
          </cell>
        </row>
        <row r="84">
          <cell r="I84" t="str">
            <v>ALUMINIO 397,5</v>
          </cell>
        </row>
        <row r="85">
          <cell r="I85" t="str">
            <v>ALUMINIO 450</v>
          </cell>
        </row>
        <row r="86">
          <cell r="I86" t="str">
            <v>ALUMINIO  477</v>
          </cell>
        </row>
        <row r="87">
          <cell r="I87" t="str">
            <v>ALUMINIO 1350</v>
          </cell>
        </row>
        <row r="88">
          <cell r="I88" t="str">
            <v>ALUMINIO 556,5</v>
          </cell>
        </row>
        <row r="89">
          <cell r="I89" t="str">
            <v>ALUMINIO 600</v>
          </cell>
        </row>
        <row r="90">
          <cell r="I90" t="str">
            <v>ALUMINIO 636</v>
          </cell>
        </row>
        <row r="91">
          <cell r="I91" t="str">
            <v>ALUMINIO 650</v>
          </cell>
        </row>
        <row r="92">
          <cell r="I92" t="str">
            <v>ALUMINIO 700</v>
          </cell>
        </row>
        <row r="93">
          <cell r="I93" t="str">
            <v>ALUMINIO 715,5</v>
          </cell>
        </row>
        <row r="94">
          <cell r="I94" t="str">
            <v>ALUMINIO 750</v>
          </cell>
        </row>
        <row r="95">
          <cell r="I95" t="str">
            <v>ALUMINIO 795</v>
          </cell>
        </row>
        <row r="96">
          <cell r="I96" t="str">
            <v>ALUMINIO 900</v>
          </cell>
        </row>
        <row r="97">
          <cell r="I97" t="str">
            <v>ALUMINIO 954</v>
          </cell>
        </row>
        <row r="98">
          <cell r="I98" t="str">
            <v>ALUMINIO 1000</v>
          </cell>
        </row>
        <row r="99">
          <cell r="I99" t="str">
            <v>ALUMINIO 1033,5</v>
          </cell>
        </row>
        <row r="100">
          <cell r="I100" t="str">
            <v>ALUMINIO 1113</v>
          </cell>
        </row>
        <row r="101">
          <cell r="I101" t="str">
            <v>ALUMINIO 1192,5</v>
          </cell>
        </row>
        <row r="102">
          <cell r="I102" t="str">
            <v>ALUMINIO1272</v>
          </cell>
        </row>
        <row r="103">
          <cell r="I103" t="str">
            <v>ALUMINIO 1351,5</v>
          </cell>
        </row>
        <row r="104">
          <cell r="I104" t="str">
            <v>ALUMINIO 1431</v>
          </cell>
        </row>
        <row r="105">
          <cell r="I105" t="str">
            <v>CU # 6</v>
          </cell>
        </row>
        <row r="106">
          <cell r="I106" t="str">
            <v>CU # 4</v>
          </cell>
        </row>
        <row r="107">
          <cell r="I107" t="str">
            <v>CU # 2</v>
          </cell>
        </row>
        <row r="108">
          <cell r="I108" t="str">
            <v>CU # 1/0</v>
          </cell>
        </row>
        <row r="109">
          <cell r="I109" t="str">
            <v>CU # 2/0</v>
          </cell>
        </row>
        <row r="110">
          <cell r="I110" t="str">
            <v>CU #3/0</v>
          </cell>
        </row>
        <row r="111">
          <cell r="I111" t="str">
            <v>CU # 4/0</v>
          </cell>
        </row>
        <row r="112">
          <cell r="I112" t="str">
            <v>CU 250</v>
          </cell>
        </row>
        <row r="113">
          <cell r="I113" t="str">
            <v>CU 300</v>
          </cell>
        </row>
        <row r="114">
          <cell r="I114" t="str">
            <v>CU 350</v>
          </cell>
        </row>
        <row r="115">
          <cell r="I115" t="str">
            <v>CU 500</v>
          </cell>
        </row>
        <row r="116">
          <cell r="I116" t="str">
            <v>CU 600</v>
          </cell>
        </row>
        <row r="117">
          <cell r="I117" t="str">
            <v>CU 750</v>
          </cell>
        </row>
        <row r="118">
          <cell r="I118" t="str">
            <v>COBRE 15 kv CON PANTALLA # 2</v>
          </cell>
        </row>
        <row r="119">
          <cell r="I119" t="str">
            <v>COBRE 15 kv CON PANTALLA # 1/0</v>
          </cell>
        </row>
        <row r="120">
          <cell r="I120" t="str">
            <v>COBRE 15 kv CON PANTALLA # 2/0</v>
          </cell>
        </row>
        <row r="121">
          <cell r="I121" t="str">
            <v>COBRE 15 kv CON PANTALLA # 3/0</v>
          </cell>
        </row>
        <row r="122">
          <cell r="I122" t="str">
            <v>COBRE 15 kv CON PANTALLA # 4/0</v>
          </cell>
        </row>
        <row r="123">
          <cell r="I123" t="str">
            <v>COBRE 15 kv CON PANTALLA 250</v>
          </cell>
        </row>
        <row r="124">
          <cell r="I124" t="str">
            <v>COBRE 15 kv CON PANTALLA 350</v>
          </cell>
        </row>
        <row r="125">
          <cell r="I125" t="str">
            <v>COBRE 15 kv CON PANTALLA 500</v>
          </cell>
        </row>
        <row r="126">
          <cell r="I126" t="str">
            <v>COBRE 15 kv CON PANTALLA 750</v>
          </cell>
        </row>
        <row r="127">
          <cell r="I127" t="str">
            <v>COBRE 15 kv CON PANTALLA 1000</v>
          </cell>
        </row>
        <row r="128">
          <cell r="I128" t="str">
            <v>COBRE 15 kv CON PANTALLA 1250</v>
          </cell>
        </row>
        <row r="129">
          <cell r="I129" t="str">
            <v>COBRE 15 kv CON PANTALLA 1500</v>
          </cell>
        </row>
        <row r="130">
          <cell r="I130" t="str">
            <v>COBRE 15 kv CON PANTALLA 1750</v>
          </cell>
        </row>
        <row r="131">
          <cell r="I131" t="str">
            <v>COBRE 15 kv CON PANTALLA 2000</v>
          </cell>
        </row>
        <row r="132">
          <cell r="I132" t="str">
            <v>ALUMINIO 15 KV CON PANTALLA # 2</v>
          </cell>
        </row>
        <row r="133">
          <cell r="I133" t="str">
            <v>ALUMINIO 15 KV CON PANTALLA # 1/0</v>
          </cell>
        </row>
        <row r="134">
          <cell r="I134" t="str">
            <v>ALUMINIO 15 KV CON PANTALLA # 2/0</v>
          </cell>
        </row>
        <row r="135">
          <cell r="I135" t="str">
            <v>ALUMINIO 15 KV CON PANTALLA # 3/0</v>
          </cell>
        </row>
        <row r="136">
          <cell r="I136" t="str">
            <v>ALUMINIO 15 KV CON PANTALLA # 4/0</v>
          </cell>
        </row>
        <row r="137">
          <cell r="I137" t="str">
            <v>ALUMINIO 15 KV CON PANTALLA 250</v>
          </cell>
        </row>
        <row r="138">
          <cell r="I138" t="str">
            <v>ALUMINIO 15 KV CON PANTALLA 350</v>
          </cell>
        </row>
        <row r="139">
          <cell r="I139" t="str">
            <v>ALUMINIO 15 KV CON PANTALLA 500</v>
          </cell>
        </row>
        <row r="140">
          <cell r="I140" t="str">
            <v>ALUMINIO 15 KV CON PANTALLA 750</v>
          </cell>
        </row>
        <row r="141">
          <cell r="I141" t="str">
            <v>ALUMINIO 15 KV CON PANTALLA 1000</v>
          </cell>
        </row>
        <row r="142">
          <cell r="I142" t="str">
            <v>ALUMINIO 15 KV CON PANTALLA 1250</v>
          </cell>
        </row>
        <row r="143">
          <cell r="I143" t="str">
            <v>ALUMINIO 15 KV CON PANTALLA 1500</v>
          </cell>
        </row>
        <row r="144">
          <cell r="I144" t="str">
            <v>ALUMINIO 15 KV CON PANTALLA 1750</v>
          </cell>
        </row>
        <row r="145">
          <cell r="I145" t="str">
            <v>ALUMINIO 15 KV CON PANTALLA 2000</v>
          </cell>
        </row>
        <row r="146">
          <cell r="I146" t="str">
            <v>COBRE 35 KV CON PANTALLA # 1/0</v>
          </cell>
        </row>
        <row r="147">
          <cell r="I147" t="str">
            <v>COBRE 35 KV CON PANTALLA # 2/0</v>
          </cell>
        </row>
        <row r="148">
          <cell r="I148" t="str">
            <v>COBRE 35 KV CON PANTALLA # 3/0</v>
          </cell>
        </row>
        <row r="149">
          <cell r="I149" t="str">
            <v>COBRE 35 KV CON PANTALLA # 4/0</v>
          </cell>
        </row>
        <row r="150">
          <cell r="I150" t="str">
            <v>COBRE 35 KV CON PANTALLA 250</v>
          </cell>
        </row>
        <row r="151">
          <cell r="I151" t="str">
            <v>COBRE 35 KV CON PANTALLA 350</v>
          </cell>
        </row>
        <row r="152">
          <cell r="I152" t="str">
            <v>COBRE 35 KV CON PANTALLA 500</v>
          </cell>
        </row>
        <row r="153">
          <cell r="I153" t="str">
            <v>COBRE 35 KV CON PANTALLA 750</v>
          </cell>
        </row>
        <row r="154">
          <cell r="I154" t="str">
            <v>COBRE 35 KV CON PANTALLA 1000</v>
          </cell>
        </row>
        <row r="155">
          <cell r="I155" t="str">
            <v>COBRE 35 KV CON PANTALLA 1250</v>
          </cell>
        </row>
        <row r="156">
          <cell r="I156" t="str">
            <v>COBRE 35 KV CON PANTALLA 1500</v>
          </cell>
        </row>
        <row r="157">
          <cell r="I157" t="str">
            <v>COBRE 35 KV CON PANTALLA 1750</v>
          </cell>
        </row>
        <row r="158">
          <cell r="I158" t="str">
            <v>COBRE 35 KV CON PANTALLA 2000</v>
          </cell>
        </row>
        <row r="159">
          <cell r="I159" t="str">
            <v>ALUMINIO 35 KV CON PANTALLA # 1/0</v>
          </cell>
        </row>
        <row r="160">
          <cell r="I160" t="str">
            <v>ALUMINIO 35 KV CON PANTALLA # 2/0</v>
          </cell>
        </row>
        <row r="161">
          <cell r="I161" t="str">
            <v>ALUMINIO 35 KV CON PANTALLA # 3/0</v>
          </cell>
        </row>
        <row r="162">
          <cell r="I162" t="str">
            <v>ALUMINIO 35 KV CON PANTALLA # 4/0</v>
          </cell>
        </row>
        <row r="163">
          <cell r="I163" t="str">
            <v>ALUMINIO 35 KV CON PANTALLA 250</v>
          </cell>
        </row>
        <row r="164">
          <cell r="I164" t="str">
            <v>ALUMINIO 35 KV CON PANTALLA 350</v>
          </cell>
        </row>
        <row r="165">
          <cell r="I165" t="str">
            <v>ALUMINIO 35 KV CON PANTALLA 500</v>
          </cell>
        </row>
        <row r="166">
          <cell r="I166" t="str">
            <v>ALUMINIO 35 KV CON PANTALLA 750</v>
          </cell>
        </row>
        <row r="167">
          <cell r="I167" t="str">
            <v>ALUMINIO 35 KV CON PANTALLA 1000</v>
          </cell>
        </row>
        <row r="168">
          <cell r="I168" t="str">
            <v>ALUMINIO 35 KV CON PANTALLA 1250</v>
          </cell>
        </row>
        <row r="169">
          <cell r="I169" t="str">
            <v>ALUMINIO 35 KV CON PANTALLA 1500</v>
          </cell>
        </row>
        <row r="170">
          <cell r="I170" t="str">
            <v>ALUMINIO 35 KV CON PANTALLA 1750</v>
          </cell>
        </row>
        <row r="171">
          <cell r="I171" t="str">
            <v>ALUMINIO 35 KV CON PANTALLA 2000</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NIF GEN"/>
      <sheetName val="subestaciones"/>
      <sheetName val=" DISTR SE 414"/>
      <sheetName val="INSTRUCTIVO"/>
      <sheetName val="INSTRUCTIVO 2"/>
      <sheetName val="SELECCION"/>
      <sheetName val="RESUMEN"/>
      <sheetName val="SE REPORTADA POR TRANSMISION"/>
      <sheetName val="Hoja1"/>
      <sheetName val="SUBETACIONES DE DISTRIB CR "/>
      <sheetName val="INFORMACION GENERAL CTOS"/>
      <sheetName val="INF. DE CIRCUITOS"/>
      <sheetName val="EQUIPOS INDISPONIBLES SE"/>
      <sheetName val="TOTAL RESTRICCIONES OPERAT CTOS"/>
      <sheetName val="CARACTERIZACION SE"/>
      <sheetName val="CARATERIZACION CIRCUITO "/>
    </sheetNames>
    <sheetDataSet>
      <sheetData sheetId="0">
        <row r="27">
          <cell r="D27" t="str">
            <v>BARBACOA I-CURAGUARO-GUARAGUAO/                                    PLANTA GUANTA-GUARAGUAO</v>
          </cell>
        </row>
      </sheetData>
      <sheetData sheetId="1">
        <row r="27">
          <cell r="D27" t="str">
            <v>TRANSMISIÓN</v>
          </cell>
        </row>
      </sheetData>
      <sheetData sheetId="2">
        <row r="27">
          <cell r="D27" t="str">
            <v>ANZOATEGUI SAN JOSE DE GUARIBE</v>
          </cell>
        </row>
      </sheetData>
      <sheetData sheetId="3"/>
      <sheetData sheetId="4"/>
      <sheetData sheetId="5">
        <row r="2">
          <cell r="A2" t="str">
            <v>AMAZONAS</v>
          </cell>
          <cell r="C2">
            <v>2.4</v>
          </cell>
          <cell r="D2" t="str">
            <v>230/115</v>
          </cell>
          <cell r="F2">
            <v>34.5</v>
          </cell>
          <cell r="I2" t="str">
            <v>AMAZONA</v>
          </cell>
          <cell r="N2" t="str">
            <v>AISLAMIENTO</v>
          </cell>
          <cell r="Z2" t="str">
            <v>AISLADORES Y COPAS</v>
          </cell>
          <cell r="AB2" t="str">
            <v>Cajas</v>
          </cell>
          <cell r="AE2" t="str">
            <v>MANTENIMIENTOPREVENTIVO</v>
          </cell>
        </row>
        <row r="3">
          <cell r="A3" t="str">
            <v>ANZOATEGUI</v>
          </cell>
          <cell r="C3">
            <v>4.16</v>
          </cell>
          <cell r="D3" t="str">
            <v>230/34,5</v>
          </cell>
          <cell r="F3">
            <v>30</v>
          </cell>
          <cell r="I3" t="str">
            <v>ANACO</v>
          </cell>
          <cell r="N3" t="str">
            <v>CONDENSADOR</v>
          </cell>
          <cell r="Z3" t="str">
            <v>CABLES Y CONDUCTORES</v>
          </cell>
          <cell r="AB3" t="str">
            <v>Cant</v>
          </cell>
          <cell r="AE3" t="str">
            <v>AISLADORESSOPORTE</v>
          </cell>
        </row>
        <row r="4">
          <cell r="A4" t="str">
            <v>APURE</v>
          </cell>
          <cell r="C4">
            <v>4.8</v>
          </cell>
          <cell r="D4" t="str">
            <v>230/13,8</v>
          </cell>
          <cell r="F4">
            <v>24.5</v>
          </cell>
          <cell r="I4" t="str">
            <v>EL TIGRE</v>
          </cell>
          <cell r="N4" t="str">
            <v>CONECTORES</v>
          </cell>
          <cell r="Z4" t="str">
            <v>CONECTORES</v>
          </cell>
          <cell r="AB4" t="str">
            <v>g</v>
          </cell>
          <cell r="AE4" t="str">
            <v>BANCODECAPACITORES</v>
          </cell>
        </row>
        <row r="5">
          <cell r="A5" t="str">
            <v>ARAGUA</v>
          </cell>
          <cell r="C5">
            <v>6.9</v>
          </cell>
          <cell r="D5" t="str">
            <v>115/34,5</v>
          </cell>
          <cell r="F5">
            <v>23.9</v>
          </cell>
          <cell r="I5" t="str">
            <v>METROPOLITANO</v>
          </cell>
          <cell r="N5" t="str">
            <v>EQUIPOSDESECCIONAMIENTOOINTERCONEXION</v>
          </cell>
          <cell r="Z5" t="str">
            <v>CORTACORRIENTES</v>
          </cell>
          <cell r="AB5" t="str">
            <v>kg</v>
          </cell>
          <cell r="AE5" t="str">
            <v>BARRAS</v>
          </cell>
        </row>
        <row r="6">
          <cell r="A6" t="str">
            <v>BARINAS</v>
          </cell>
          <cell r="C6">
            <v>8.3000000000000007</v>
          </cell>
          <cell r="D6" t="str">
            <v>115/13,8</v>
          </cell>
          <cell r="F6">
            <v>13.8</v>
          </cell>
          <cell r="I6" t="str">
            <v>PARIAGUAN</v>
          </cell>
          <cell r="N6" t="str">
            <v>ESTRUCTURA</v>
          </cell>
          <cell r="Z6" t="str">
            <v xml:space="preserve">EQUIPOS DE SUB ESTRACIONES </v>
          </cell>
          <cell r="AB6" t="str">
            <v>km</v>
          </cell>
          <cell r="AE6" t="str">
            <v>BOBINAS</v>
          </cell>
        </row>
        <row r="7">
          <cell r="A7" t="str">
            <v>BOLIVAR</v>
          </cell>
          <cell r="C7">
            <v>11.9</v>
          </cell>
          <cell r="D7" t="str">
            <v>34,5/13,8</v>
          </cell>
          <cell r="F7">
            <v>12.47</v>
          </cell>
          <cell r="I7" t="str">
            <v>PIRITU</v>
          </cell>
          <cell r="N7" t="str">
            <v>LINEASCABLESOCONDUCTORES</v>
          </cell>
          <cell r="Z7" t="str">
            <v>FUSIBLES</v>
          </cell>
          <cell r="AB7" t="str">
            <v>L</v>
          </cell>
          <cell r="AE7" t="str">
            <v>CORTACORRIENTE</v>
          </cell>
        </row>
        <row r="8">
          <cell r="A8" t="str">
            <v>CARABOBO</v>
          </cell>
          <cell r="C8">
            <v>12.47</v>
          </cell>
          <cell r="D8">
            <v>230</v>
          </cell>
          <cell r="F8">
            <v>11.9</v>
          </cell>
          <cell r="I8" t="str">
            <v>ACHAGUAS</v>
          </cell>
          <cell r="N8" t="str">
            <v>OTROS</v>
          </cell>
          <cell r="Z8" t="str">
            <v>HERRAJES</v>
          </cell>
          <cell r="AB8" t="str">
            <v>m</v>
          </cell>
          <cell r="AE8" t="str">
            <v>ESTRUCTURASDESOPORTE</v>
          </cell>
        </row>
        <row r="9">
          <cell r="A9" t="str">
            <v>COJEDES</v>
          </cell>
          <cell r="C9">
            <v>13.8</v>
          </cell>
          <cell r="D9">
            <v>115</v>
          </cell>
          <cell r="F9" t="str">
            <v>23,9/8,3</v>
          </cell>
          <cell r="I9" t="str">
            <v>GUASDUALITO</v>
          </cell>
          <cell r="N9" t="str">
            <v>PROTECCIONES</v>
          </cell>
          <cell r="Z9" t="str">
            <v>INTERRUPTORES</v>
          </cell>
          <cell r="AB9" t="str">
            <v>Pza</v>
          </cell>
          <cell r="AE9" t="str">
            <v>INTERRUPTORES</v>
          </cell>
        </row>
        <row r="10">
          <cell r="A10" t="str">
            <v>DELTA_AMACURO</v>
          </cell>
          <cell r="C10">
            <v>23.9</v>
          </cell>
          <cell r="D10">
            <v>69</v>
          </cell>
          <cell r="F10" t="str">
            <v>34,5/13,8</v>
          </cell>
          <cell r="I10" t="str">
            <v>SAN FERNANDO</v>
          </cell>
          <cell r="N10" t="str">
            <v>REGULADORES DE VOLTAJE</v>
          </cell>
          <cell r="Z10" t="str">
            <v>PARARRAYOS</v>
          </cell>
          <cell r="AB10" t="str">
            <v>Rollo</v>
          </cell>
          <cell r="AE10" t="str">
            <v>PARARRAYOS</v>
          </cell>
        </row>
        <row r="11">
          <cell r="A11" t="str">
            <v>DISTRITO_CAPITAL</v>
          </cell>
          <cell r="C11">
            <v>24.5</v>
          </cell>
          <cell r="D11">
            <v>34.5</v>
          </cell>
          <cell r="F11" t="str">
            <v>23,9/13,8</v>
          </cell>
          <cell r="I11" t="str">
            <v>JOSE FELIX RIVAS</v>
          </cell>
          <cell r="N11" t="str">
            <v>SEGURIDAD</v>
          </cell>
          <cell r="Z11" t="str">
            <v>POSTES</v>
          </cell>
          <cell r="AB11" t="str">
            <v>Unid</v>
          </cell>
          <cell r="AE11" t="str">
            <v>REACTOR</v>
          </cell>
        </row>
        <row r="12">
          <cell r="A12" t="str">
            <v>FALCON</v>
          </cell>
          <cell r="C12">
            <v>30</v>
          </cell>
          <cell r="D12">
            <v>30</v>
          </cell>
          <cell r="F12" t="str">
            <v>138/13,8</v>
          </cell>
          <cell r="I12" t="str">
            <v>ANTONIO JOSE DE SUCRE</v>
          </cell>
          <cell r="Z12" t="str">
            <v>RECONECTADORES</v>
          </cell>
          <cell r="AB12" t="str">
            <v>km²</v>
          </cell>
          <cell r="AE12" t="str">
            <v>RECONECTADORES</v>
          </cell>
        </row>
        <row r="13">
          <cell r="A13" t="str">
            <v>GUARICO</v>
          </cell>
          <cell r="C13">
            <v>34.5</v>
          </cell>
          <cell r="D13" t="str">
            <v>138/23,9</v>
          </cell>
          <cell r="F13" t="str">
            <v>138/23,9</v>
          </cell>
          <cell r="I13" t="str">
            <v>ATANASIO GIRARDOT</v>
          </cell>
          <cell r="Z13" t="str">
            <v>REGULADORES</v>
          </cell>
          <cell r="AB13" t="str">
            <v>MVA</v>
          </cell>
          <cell r="AE13" t="str">
            <v>REGULADORES</v>
          </cell>
        </row>
        <row r="14">
          <cell r="A14" t="str">
            <v>LA_GUAIRA</v>
          </cell>
          <cell r="C14" t="str">
            <v>NO LISTADA</v>
          </cell>
          <cell r="D14">
            <v>34.5</v>
          </cell>
          <cell r="I14" t="str">
            <v>LIBERTADOR</v>
          </cell>
          <cell r="Z14" t="str">
            <v>SECCIONADORES</v>
          </cell>
          <cell r="AB14" t="str">
            <v>m²</v>
          </cell>
          <cell r="AE14" t="str">
            <v>SECCIONADORES</v>
          </cell>
        </row>
        <row r="15">
          <cell r="A15" t="str">
            <v>LARA</v>
          </cell>
          <cell r="D15" t="str">
            <v>NO LISTADA</v>
          </cell>
          <cell r="I15" t="str">
            <v>RAFAEL URDANETA</v>
          </cell>
          <cell r="Z15" t="str">
            <v>TEIPES CINTAS Y OTROS AISLANTES</v>
          </cell>
          <cell r="AB15" t="str">
            <v>NA</v>
          </cell>
          <cell r="AE15" t="str">
            <v>SEGURIDADINFRAESTRUCTURA</v>
          </cell>
        </row>
        <row r="16">
          <cell r="A16" t="str">
            <v>MERIDA</v>
          </cell>
          <cell r="I16" t="str">
            <v>BARINAS</v>
          </cell>
          <cell r="Z16" t="str">
            <v>TRANSFORMADORES</v>
          </cell>
          <cell r="AE16" t="str">
            <v>SERVICIOSAUXILIARES</v>
          </cell>
        </row>
        <row r="17">
          <cell r="A17" t="str">
            <v>MIRANDA</v>
          </cell>
          <cell r="I17" t="str">
            <v>SABANETA</v>
          </cell>
          <cell r="Z17" t="str">
            <v>TRANSFORMADORES DE MEDIDA (TC Y TP)</v>
          </cell>
          <cell r="AE17" t="str">
            <v>SISTEMADEPUESTAATIERRA</v>
          </cell>
        </row>
        <row r="18">
          <cell r="A18" t="str">
            <v>MONAGAS</v>
          </cell>
          <cell r="I18" t="str">
            <v>SOCOPO</v>
          </cell>
          <cell r="Z18" t="str">
            <v>MATERIALES VARIOS</v>
          </cell>
          <cell r="AE18" t="str">
            <v>SUBESTACIONMOVIL</v>
          </cell>
        </row>
        <row r="19">
          <cell r="A19" t="str">
            <v>NUEVA_ESPARTA</v>
          </cell>
          <cell r="I19" t="str">
            <v>EZEQUIEL ZAMORA</v>
          </cell>
          <cell r="Z19" t="str">
            <v>NO REQUIERE MATERIAL</v>
          </cell>
          <cell r="AE19" t="str">
            <v>TABLERODECONTROLYMEDICIÓN</v>
          </cell>
        </row>
        <row r="20">
          <cell r="A20" t="str">
            <v>PORTUGUESA</v>
          </cell>
          <cell r="I20" t="str">
            <v>FRANCISCO DE MIRANDA</v>
          </cell>
          <cell r="AE20" t="str">
            <v>TRANSFORMADORDEPOTENCIA</v>
          </cell>
        </row>
        <row r="21">
          <cell r="A21" t="str">
            <v>SUCRE</v>
          </cell>
          <cell r="I21" t="str">
            <v>MANUEL PIAR</v>
          </cell>
          <cell r="AE21" t="str">
            <v>TRANSFORMADORESDEMEDICION</v>
          </cell>
        </row>
        <row r="22">
          <cell r="A22" t="str">
            <v>TACHIRA</v>
          </cell>
          <cell r="I22" t="str">
            <v>SIMON BOLIVAR</v>
          </cell>
        </row>
        <row r="23">
          <cell r="A23" t="str">
            <v>TRUJILLO</v>
          </cell>
          <cell r="I23" t="str">
            <v>SIMON RODRIGUEZ</v>
          </cell>
        </row>
        <row r="24">
          <cell r="A24" t="str">
            <v>YARACUY</v>
          </cell>
          <cell r="I24" t="str">
            <v>CENTRO</v>
          </cell>
        </row>
        <row r="25">
          <cell r="A25" t="str">
            <v>ZULIA</v>
          </cell>
          <cell r="I25" t="str">
            <v>ESTE</v>
          </cell>
        </row>
        <row r="26">
          <cell r="I26" t="str">
            <v>OESTE</v>
          </cell>
        </row>
        <row r="27">
          <cell r="I27" t="str">
            <v>TOVAR</v>
          </cell>
        </row>
        <row r="28">
          <cell r="I28" t="str">
            <v>BEJUMA</v>
          </cell>
        </row>
        <row r="29">
          <cell r="I29" t="str">
            <v>CARLOS ARVELO</v>
          </cell>
        </row>
        <row r="30">
          <cell r="I30" t="str">
            <v>GUACARA</v>
          </cell>
        </row>
        <row r="31">
          <cell r="I31" t="str">
            <v>LIBERTADOR</v>
          </cell>
        </row>
        <row r="32">
          <cell r="I32" t="str">
            <v>NAGUANAGUA</v>
          </cell>
        </row>
        <row r="33">
          <cell r="I33" t="str">
            <v>PUERTO CABELLO</v>
          </cell>
        </row>
        <row r="34">
          <cell r="I34" t="str">
            <v>SAN DIEGO</v>
          </cell>
        </row>
        <row r="35">
          <cell r="I35" t="str">
            <v>VALENCIA</v>
          </cell>
        </row>
        <row r="36">
          <cell r="I36" t="str">
            <v>SAN CARLOS</v>
          </cell>
        </row>
        <row r="37">
          <cell r="I37" t="str">
            <v>TINACO</v>
          </cell>
        </row>
        <row r="38">
          <cell r="I38" t="str">
            <v>TINAQUILLO</v>
          </cell>
        </row>
        <row r="39">
          <cell r="I39" t="str">
            <v>DELTA AMACURO</v>
          </cell>
        </row>
        <row r="40">
          <cell r="I40" t="str">
            <v>CHURUGUARA</v>
          </cell>
        </row>
        <row r="41">
          <cell r="I41" t="str">
            <v>CORO</v>
          </cell>
        </row>
        <row r="42">
          <cell r="I42" t="str">
            <v>DABAJURO</v>
          </cell>
        </row>
        <row r="43">
          <cell r="I43" t="str">
            <v>MIRIMIRE -</v>
          </cell>
        </row>
        <row r="44">
          <cell r="I44" t="str">
            <v>PTO FIJO</v>
          </cell>
        </row>
        <row r="45">
          <cell r="I45" t="str">
            <v>TUCACAS</v>
          </cell>
        </row>
        <row r="46">
          <cell r="I46" t="str">
            <v>ALTAGRACIA</v>
          </cell>
        </row>
        <row r="47">
          <cell r="I47" t="str">
            <v>CALABOZO</v>
          </cell>
        </row>
        <row r="48">
          <cell r="I48" t="str">
            <v>LA PASCUA</v>
          </cell>
        </row>
        <row r="49">
          <cell r="I49" t="str">
            <v>SAN JUAN</v>
          </cell>
        </row>
        <row r="50">
          <cell r="I50" t="str">
            <v>ZARAZA</v>
          </cell>
        </row>
        <row r="51">
          <cell r="I51" t="str">
            <v>BARQUISIMETO</v>
          </cell>
        </row>
        <row r="52">
          <cell r="I52" t="str">
            <v>CABUDARE</v>
          </cell>
        </row>
        <row r="53">
          <cell r="I53" t="str">
            <v>CARORA</v>
          </cell>
        </row>
        <row r="54">
          <cell r="I54" t="str">
            <v>DUACA</v>
          </cell>
        </row>
        <row r="55">
          <cell r="I55" t="str">
            <v>QUIBOR</v>
          </cell>
        </row>
        <row r="56">
          <cell r="I56" t="str">
            <v>METROPOLITANO</v>
          </cell>
        </row>
        <row r="57">
          <cell r="I57" t="str">
            <v>MOCOTIES</v>
          </cell>
        </row>
        <row r="58">
          <cell r="I58" t="str">
            <v>PANAMERICANO</v>
          </cell>
        </row>
        <row r="59">
          <cell r="I59" t="str">
            <v>PARAMO</v>
          </cell>
        </row>
        <row r="60">
          <cell r="I60" t="str">
            <v>ALTOS MIRANDINOS</v>
          </cell>
        </row>
        <row r="61">
          <cell r="I61" t="str">
            <v>BARLOVENTO</v>
          </cell>
        </row>
        <row r="62">
          <cell r="I62" t="str">
            <v>CHARALLAVE</v>
          </cell>
        </row>
        <row r="63">
          <cell r="I63" t="str">
            <v>GUARENAS</v>
          </cell>
        </row>
        <row r="64">
          <cell r="I64" t="str">
            <v>HIGUEROTE -</v>
          </cell>
        </row>
        <row r="65">
          <cell r="I65" t="str">
            <v>SANTA TERESA</v>
          </cell>
        </row>
        <row r="66">
          <cell r="I66" t="str">
            <v>LIBERTADOR</v>
          </cell>
        </row>
        <row r="67">
          <cell r="I67" t="str">
            <v>MATURIN</v>
          </cell>
        </row>
        <row r="68">
          <cell r="I68" t="str">
            <v>PUNTA DE MATA</v>
          </cell>
        </row>
        <row r="69">
          <cell r="I69" t="str">
            <v>JUAN GRIEGO</v>
          </cell>
        </row>
        <row r="70">
          <cell r="I70" t="str">
            <v>PAMPATAR</v>
          </cell>
        </row>
        <row r="71">
          <cell r="I71" t="str">
            <v>ACARIGUA</v>
          </cell>
        </row>
        <row r="72">
          <cell r="I72" t="str">
            <v>BISCUCUY</v>
          </cell>
        </row>
        <row r="73">
          <cell r="I73" t="str">
            <v>GUANARE</v>
          </cell>
        </row>
        <row r="74">
          <cell r="I74" t="str">
            <v>TUREN</v>
          </cell>
        </row>
        <row r="75">
          <cell r="I75" t="str">
            <v>CARIACO</v>
          </cell>
        </row>
        <row r="76">
          <cell r="I76" t="str">
            <v>CARUPANO</v>
          </cell>
        </row>
        <row r="77">
          <cell r="I77" t="str">
            <v>CUMANA</v>
          </cell>
        </row>
        <row r="78">
          <cell r="I78" t="str">
            <v>LA FRIA</v>
          </cell>
        </row>
        <row r="79">
          <cell r="I79" t="str">
            <v>LA PEDRERA</v>
          </cell>
        </row>
        <row r="80">
          <cell r="I80" t="str">
            <v>MICHELENA</v>
          </cell>
        </row>
        <row r="81">
          <cell r="I81" t="str">
            <v>SAN ANTONIO</v>
          </cell>
        </row>
        <row r="82">
          <cell r="I82" t="str">
            <v>SAN CRISTOBAL</v>
          </cell>
        </row>
        <row r="83">
          <cell r="I83" t="str">
            <v>BOCONO</v>
          </cell>
        </row>
        <row r="84">
          <cell r="I84" t="str">
            <v>CAJA SECA</v>
          </cell>
        </row>
        <row r="85">
          <cell r="I85" t="str">
            <v>SABANA MENDOZA</v>
          </cell>
        </row>
        <row r="86">
          <cell r="I86" t="str">
            <v>TRUJILLO</v>
          </cell>
        </row>
        <row r="87">
          <cell r="I87" t="str">
            <v>VALERA</v>
          </cell>
        </row>
        <row r="88">
          <cell r="I88" t="str">
            <v>VARGAS</v>
          </cell>
        </row>
        <row r="89">
          <cell r="I89" t="str">
            <v>AROA</v>
          </cell>
        </row>
        <row r="90">
          <cell r="I90" t="str">
            <v>SAN FELIPE</v>
          </cell>
        </row>
        <row r="91">
          <cell r="I91" t="str">
            <v>YARITAGUA</v>
          </cell>
        </row>
        <row r="92">
          <cell r="I92" t="str">
            <v>BARALT-VALMORE</v>
          </cell>
        </row>
        <row r="93">
          <cell r="I93" t="str">
            <v>CABIMAS</v>
          </cell>
        </row>
        <row r="94">
          <cell r="I94" t="str">
            <v>JESUS ENRIQUE LOZADA Y CAÑADA URDANETA</v>
          </cell>
        </row>
        <row r="95">
          <cell r="I95" t="str">
            <v>JESUS MARIA SEMPRUM</v>
          </cell>
        </row>
        <row r="96">
          <cell r="I96" t="str">
            <v>LAGUNILLAS</v>
          </cell>
        </row>
        <row r="97">
          <cell r="I97" t="str">
            <v>MACHIQUES DE PERIJA</v>
          </cell>
        </row>
        <row r="98">
          <cell r="I98" t="str">
            <v>MARACAIBO</v>
          </cell>
        </row>
        <row r="99">
          <cell r="I99" t="str">
            <v>MARA-GUAJIRA-PADILLA</v>
          </cell>
        </row>
        <row r="100">
          <cell r="I100" t="str">
            <v>MIRANDA - SANTA RITA</v>
          </cell>
        </row>
        <row r="101">
          <cell r="I101" t="str">
            <v>ROSARIO PERIJA</v>
          </cell>
        </row>
        <row r="102">
          <cell r="I102" t="str">
            <v>SAN FRANCISCO</v>
          </cell>
        </row>
      </sheetData>
      <sheetData sheetId="6">
        <row r="27">
          <cell r="D27">
            <v>343.2</v>
          </cell>
        </row>
      </sheetData>
      <sheetData sheetId="7">
        <row r="27">
          <cell r="D27" t="str">
            <v>GUARAGUAO</v>
          </cell>
        </row>
      </sheetData>
      <sheetData sheetId="8"/>
      <sheetData sheetId="9">
        <row r="27">
          <cell r="D27" t="str">
            <v>LAS CARMELITAS (S2)</v>
          </cell>
        </row>
      </sheetData>
      <sheetData sheetId="10">
        <row r="27">
          <cell r="D27" t="str">
            <v>ANZOATEGUI</v>
          </cell>
        </row>
      </sheetData>
      <sheetData sheetId="11">
        <row r="27">
          <cell r="D27">
            <v>34.5</v>
          </cell>
        </row>
      </sheetData>
      <sheetData sheetId="12"/>
      <sheetData sheetId="13"/>
      <sheetData sheetId="14">
        <row r="27">
          <cell r="D27" t="str">
            <v>TRANSMISIÓN</v>
          </cell>
        </row>
      </sheetData>
      <sheetData sheetId="15">
        <row r="27">
          <cell r="D27" t="str">
            <v>SAN MIGUEL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FICHA"/>
      <sheetName val="INFO SOBRE SUB ESTACIONES Y TRX"/>
      <sheetName val="RES INF CTOS"/>
      <sheetName val="Hoja1"/>
      <sheetName val="INF. CIRCUITOS."/>
      <sheetName val="INF. GENERAL CTOS 1"/>
      <sheetName val="INF. GENERAL CIRCUITOS TRX 2"/>
    </sheetNames>
    <sheetDataSet>
      <sheetData sheetId="0"/>
      <sheetData sheetId="1"/>
      <sheetData sheetId="2"/>
      <sheetData sheetId="3">
        <row r="2">
          <cell r="A2" t="str">
            <v>AMAZONAS</v>
          </cell>
        </row>
        <row r="3">
          <cell r="A3" t="str">
            <v>ANZOATEGUI</v>
          </cell>
        </row>
        <row r="4">
          <cell r="A4" t="str">
            <v>APURE</v>
          </cell>
        </row>
        <row r="5">
          <cell r="A5" t="str">
            <v>ARAGUA</v>
          </cell>
        </row>
        <row r="6">
          <cell r="A6" t="str">
            <v>BARINAS</v>
          </cell>
        </row>
        <row r="7">
          <cell r="A7" t="str">
            <v>BOLIVAR</v>
          </cell>
        </row>
        <row r="8">
          <cell r="A8" t="str">
            <v>CAPITAL</v>
          </cell>
        </row>
        <row r="9">
          <cell r="A9" t="str">
            <v>CARABOBO</v>
          </cell>
        </row>
        <row r="10">
          <cell r="A10" t="str">
            <v>COJEDES</v>
          </cell>
        </row>
        <row r="11">
          <cell r="A11" t="str">
            <v>DELTA AMACURO</v>
          </cell>
        </row>
        <row r="12">
          <cell r="A12" t="str">
            <v>FALCON</v>
          </cell>
        </row>
        <row r="13">
          <cell r="A13" t="str">
            <v>GUARICO</v>
          </cell>
        </row>
        <row r="14">
          <cell r="A14" t="str">
            <v>GUAYANA ESEQUIBA</v>
          </cell>
        </row>
        <row r="15">
          <cell r="A15" t="str">
            <v>LA_GUAIRA</v>
          </cell>
        </row>
        <row r="16">
          <cell r="A16" t="str">
            <v>LARA</v>
          </cell>
        </row>
        <row r="17">
          <cell r="A17" t="str">
            <v>MERIDA</v>
          </cell>
        </row>
        <row r="18">
          <cell r="A18" t="str">
            <v>MIRANDA</v>
          </cell>
        </row>
        <row r="19">
          <cell r="A19" t="str">
            <v>MONAGAS</v>
          </cell>
        </row>
        <row r="20">
          <cell r="A20" t="str">
            <v>NUEVA ESPARTA</v>
          </cell>
        </row>
        <row r="21">
          <cell r="A21" t="str">
            <v>PORTUGUESA</v>
          </cell>
        </row>
        <row r="22">
          <cell r="A22" t="str">
            <v>SUCRE</v>
          </cell>
        </row>
        <row r="23">
          <cell r="A23" t="str">
            <v>TACHIRA</v>
          </cell>
        </row>
        <row r="24">
          <cell r="A24" t="str">
            <v>TRUJILLO</v>
          </cell>
        </row>
        <row r="25">
          <cell r="A25" t="str">
            <v>YARACUY</v>
          </cell>
        </row>
        <row r="26">
          <cell r="A26" t="str">
            <v>ZULIA</v>
          </cell>
        </row>
        <row r="27">
          <cell r="A27" t="str">
            <v>Total general</v>
          </cell>
        </row>
      </sheetData>
      <sheetData sheetId="4"/>
      <sheetData sheetId="5"/>
      <sheetData sheetId="6"/>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User" refreshedDate="45916.174451736108" backgroundQuery="1" createdVersion="6" refreshedVersion="6" minRefreshableVersion="3" recordCount="0" supportSubquery="1" supportAdvancedDrill="1">
  <cacheSource type="external" connectionId="1"/>
  <cacheFields count="3">
    <cacheField name="[Rango].[ESTADO].[ESTADO]" caption="ESTADO" numFmtId="0" hierarchy="1" level="1">
      <sharedItems containsBlank="1" count="25">
        <m/>
        <s v="AMAZONAS"/>
        <s v="ANZOATEGUI"/>
        <s v="APURE"/>
        <s v="ARAGUA"/>
        <s v="BARINAS"/>
        <s v="BOLIVAR"/>
        <s v="CARABOBO"/>
        <s v="COJEDES"/>
        <s v="DELTA AMACURO"/>
        <s v="DISTRITO CAPITAL"/>
        <s v="FALCON"/>
        <s v="GUARICO"/>
        <s v="LA GUAIRA"/>
        <s v="LARA"/>
        <s v="MERIDA"/>
        <s v="MIRANDA"/>
        <s v="MONAGAS"/>
        <s v="NUEVA ESPARTA"/>
        <s v="PORTUGUESA"/>
        <s v="SUCRE"/>
        <s v="TACHIRA"/>
        <s v="TRUJILLO"/>
        <s v="YARACUY"/>
        <s v="ZULIA"/>
      </sharedItems>
    </cacheField>
    <cacheField name="[Measures].[Recuento de CAPACIDAD INSTALADA EN LA SUBESTACION (MW)]" caption="Recuento de CAPACIDAD INSTALADA EN LA SUBESTACION (MW)" numFmtId="0" hierarchy="15" level="32767"/>
    <cacheField name="[Rango].[CONDICION DEL TRANSFORMADOR (OPERATIVO / NO OPERATIVO)].[CONDICION DEL TRANSFORMADOR (OPERATIVO / NO OPERATIVO)]" caption="CONDICION DEL TRANSFORMADOR (OPERATIVO / NO OPERATIVO)" numFmtId="0" hierarchy="10" level="1">
      <sharedItems containsBlank="1" count="4">
        <m/>
        <s v="NO APLICA"/>
        <s v="NO OPERATIVO"/>
        <s v="OPERATIVO"/>
      </sharedItems>
    </cacheField>
  </cacheFields>
  <cacheHierarchies count="16">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2" memberValueDatatype="130" unbalanced="0">
      <fieldsUsage count="2">
        <fieldUsage x="-1"/>
        <fieldUsage x="0"/>
      </fieldsUsage>
    </cacheHierarchy>
    <cacheHierarchy uniqueName="[Rango].[SUBESTACION]" caption="SUBESTACION" attribute="1" defaultMemberUniqueName="[Rango].[SUBESTACION].[All]" allUniqueName="[Rango].[SUBESTACION].[All]" dimensionUniqueName="[Rango]" displayFolder="" count="0" memberValueDatatype="130" unbalanced="0"/>
    <cacheHierarchy uniqueName="[Rango].[ESTADO-SUBESTACION]" caption="ESTADO-SUBESTACION" attribute="1" defaultMemberUniqueName="[Rango].[ESTADO-SUBESTACION].[All]" allUniqueName="[Rango].[ESTADO-SUBESTACION].[All]" dimensionUniqueName="[Rango]" displayFolder="" count="0" memberValueDatatype="130" unbalanced="0"/>
    <cacheHierarchy uniqueName="[Rango].[NIVEL DE TENSIÓN ENTRADA kV]" caption="NIVEL DE TENSIÓN ENTRADA kV" attribute="1" defaultMemberUniqueName="[Rango].[NIVEL DE TENSIÓN ENTRADA kV].[All]" allUniqueName="[Rango].[NIVEL DE TENSIÓN ENTRADA kV].[All]" dimensionUniqueName="[Rango]" displayFolder="" count="0" memberValueDatatype="130" unbalanced="0"/>
    <cacheHierarchy uniqueName="[Rango].[CAPACIDAD INSTALADA EN LA SUBESTACION (MW)]" caption="CAPACIDAD INSTALADA EN LA SUBESTACION (MW)" attribute="1" defaultMemberUniqueName="[Rango].[CAPACIDAD INSTALADA EN LA SUBESTACION (MW)].[All]" allUniqueName="[Rango].[CAPACIDAD INSTALADA EN LA SUBESTACION (MW)].[All]" dimensionUniqueName="[Rango]" displayFolder="" count="0" memberValueDatatype="130" unbalanced="0"/>
    <cacheHierarchy uniqueName="[Rango].[NOMENCALTURA TRX DE POTENCIA]" caption="NOMENCALTURA TRX DE POTENCIA" attribute="1" defaultMemberUniqueName="[Rango].[NOMENCALTURA TRX DE POTENCIA].[All]" allUniqueName="[Rango].[NOMENCALTURA TRX DE POTENCIA].[All]" dimensionUniqueName="[Rango]" displayFolder="" count="0" memberValueDatatype="130" unbalanced="0"/>
    <cacheHierarchy uniqueName="[Rango].[CAPACIDAD DEL TRANSFORMADOR EN MVA INSTALADOS]" caption="CAPACIDAD DEL TRANSFORMADOR EN MVA INSTALADOS" attribute="1" defaultMemberUniqueName="[Rango].[CAPACIDAD DEL TRANSFORMADOR EN MVA INSTALADOS].[All]" allUniqueName="[Rango].[CAPACIDAD DEL TRANSFORMADOR EN MVA INSTALADOS].[All]" dimensionUniqueName="[Rango]" displayFolder="" count="0" memberValueDatatype="130" unbalanced="0"/>
    <cacheHierarchy uniqueName="[Rango].[ESPECIFICACIONES TECNICAS DEL TRANSFORMADOR]" caption="ESPECIFICACIONES TECNICAS DEL TRANSFORMADOR" attribute="1" defaultMemberUniqueName="[Rango].[ESPECIFICACIONES TECNICAS DEL TRANSFORMADOR].[All]" allUniqueName="[Rango].[ESPECIFICACIONES TECNICAS DEL TRANSFORMADOR].[All]" dimensionUniqueName="[Rango]" displayFolder="" count="0" memberValueDatatype="130" unbalanced="0"/>
    <cacheHierarchy uniqueName="[Rango].[TIENE PROTECION EL TRANSFORMADOR (SI O NO)]" caption="TIENE PROTECION EL TRANSFORMADOR (SI O NO)" attribute="1" defaultMemberUniqueName="[Rango].[TIENE PROTECION EL TRANSFORMADOR (SI O NO)].[All]" allUniqueName="[Rango].[TIENE PROTECION EL TRANSFORMADOR (SI O NO)].[All]" dimensionUniqueName="[Rango]" displayFolder="" count="0" memberValueDatatype="130" unbalanced="0"/>
    <cacheHierarchy uniqueName="[Rango].[CONDICION DEL TRANSFORMADOR (OPERATIVO / NO OPERATIVO)]" caption="CONDICION DEL TRANSFORMADOR (OPERATIVO / NO OPERATIVO)" attribute="1" defaultMemberUniqueName="[Rango].[CONDICION DEL TRANSFORMADOR (OPERATIVO / NO OPERATIVO)].[All]" allUniqueName="[Rango].[CONDICION DEL TRANSFORMADOR (OPERATIVO / NO OPERATIVO)].[All]" dimensionUniqueName="[Rango]" displayFolder="" count="2" memberValueDatatype="130" unbalanced="0">
      <fieldsUsage count="2">
        <fieldUsage x="-1"/>
        <fieldUsage x="2"/>
      </fieldsUsage>
    </cacheHierarchy>
    <cacheHierarchy uniqueName="[Rango].[TIPO DE TRANSFORMADOR (MOVIL O FIJO)]" caption="TIPO DE TRANSFORMADOR (MOVIL O FIJO)" attribute="1" defaultMemberUniqueName="[Rango].[TIPO DE TRANSFORMADOR (MOVIL O FIJO)].[All]" allUniqueName="[Rango].[TIPO DE TRANSFORMADOR (MOVIL O FIJO)].[All]" dimensionUniqueName="[Rango]" displayFolder="" count="0" memberValueDatatype="130" unbalanced="0"/>
    <cacheHierarchy uniqueName="[Rango].[FECHA DE ACTUALIZACION]" caption="FECHA DE ACTUALIZACION" attribute="1" defaultMemberUniqueName="[Rango].[FECHA DE ACTUALIZACION].[All]" allUniqueName="[Rango].[FECHA DE ACTUALIZACION].[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APACIDAD INSTALADA EN LA SUBESTACION (MW)]" caption="Recuento de CAPACIDAD INSTALADA EN LA SUBESTACION (MW)" measure="1" displayFolder="" measureGroup="Rango"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F30" firstHeaderRow="1" firstDataRow="2" firstDataCol="1"/>
  <pivotFields count="3">
    <pivotField axis="axisRow" allDrilled="1" showAll="0" dataSourceSort="1" defaultAttributeDrillState="1">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axis="axisCol" allDrilled="1" showAll="0" dataSourceSort="1" defaultAttributeDrillState="1">
      <items count="5">
        <item x="0"/>
        <item x="1"/>
        <item x="2"/>
        <item x="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5">
    <i>
      <x/>
    </i>
    <i>
      <x v="1"/>
    </i>
    <i>
      <x v="2"/>
    </i>
    <i>
      <x v="3"/>
    </i>
    <i t="grand">
      <x/>
    </i>
  </colItems>
  <dataFields count="1">
    <dataField name="Recuento de CAPACIDAD INSTALADA EN LA SUBESTACION (MW)" fld="1" subtotal="count"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FO SOBRE SUB ESTACIONES Y TRX!$A:$M">
        <x15:activeTabTopLevelEntity name="[Rango]"/>
      </x15:pivotTableUISettings>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0"/>
  <sheetViews>
    <sheetView workbookViewId="0">
      <selection activeCell="G30" sqref="G30"/>
    </sheetView>
  </sheetViews>
  <sheetFormatPr baseColWidth="10" defaultRowHeight="15" x14ac:dyDescent="0.25"/>
  <cols>
    <col min="1" max="1" width="58.7109375" bestFit="1" customWidth="1"/>
    <col min="2" max="2" width="22.42578125" bestFit="1" customWidth="1"/>
    <col min="3" max="3" width="10.5703125" bestFit="1" customWidth="1"/>
    <col min="4" max="4" width="14.5703125" bestFit="1" customWidth="1"/>
    <col min="5" max="5" width="11.28515625" bestFit="1" customWidth="1"/>
    <col min="6" max="7" width="12.5703125" bestFit="1" customWidth="1"/>
  </cols>
  <sheetData>
    <row r="3" spans="1:9" x14ac:dyDescent="0.25">
      <c r="A3" s="65" t="s">
        <v>1217</v>
      </c>
      <c r="B3" s="65" t="s">
        <v>1218</v>
      </c>
    </row>
    <row r="4" spans="1:9" x14ac:dyDescent="0.25">
      <c r="A4" s="65" t="s">
        <v>1215</v>
      </c>
      <c r="B4" t="s">
        <v>1173</v>
      </c>
      <c r="C4" t="s">
        <v>746</v>
      </c>
      <c r="D4" t="s">
        <v>109</v>
      </c>
      <c r="E4" t="s">
        <v>89</v>
      </c>
      <c r="F4" t="s">
        <v>1216</v>
      </c>
    </row>
    <row r="5" spans="1:9" x14ac:dyDescent="0.25">
      <c r="A5" s="66" t="s">
        <v>1173</v>
      </c>
      <c r="B5" s="67"/>
      <c r="C5" s="67"/>
      <c r="D5" s="67">
        <v>1</v>
      </c>
      <c r="E5" s="67"/>
      <c r="F5" s="67">
        <v>1</v>
      </c>
      <c r="H5" s="20" t="s">
        <v>134</v>
      </c>
      <c r="I5">
        <f>VLOOKUP(H5,$A$3:$F$30,6,0)</f>
        <v>1</v>
      </c>
    </row>
    <row r="6" spans="1:9" x14ac:dyDescent="0.25">
      <c r="A6" s="66" t="s">
        <v>134</v>
      </c>
      <c r="B6" s="67"/>
      <c r="C6" s="67"/>
      <c r="D6" s="67"/>
      <c r="E6" s="67">
        <v>1</v>
      </c>
      <c r="F6" s="67">
        <v>1</v>
      </c>
      <c r="H6" s="20" t="s">
        <v>6</v>
      </c>
      <c r="I6">
        <f t="shared" ref="I6:I28" si="0">VLOOKUP(H6,$A$3:$F$30,6,0)</f>
        <v>35</v>
      </c>
    </row>
    <row r="7" spans="1:9" x14ac:dyDescent="0.25">
      <c r="A7" s="66" t="s">
        <v>6</v>
      </c>
      <c r="B7" s="67"/>
      <c r="C7" s="67"/>
      <c r="D7" s="67">
        <v>3</v>
      </c>
      <c r="E7" s="67">
        <v>32</v>
      </c>
      <c r="F7" s="67">
        <v>35</v>
      </c>
      <c r="H7" s="20" t="s">
        <v>135</v>
      </c>
      <c r="I7">
        <f t="shared" si="0"/>
        <v>20</v>
      </c>
    </row>
    <row r="8" spans="1:9" x14ac:dyDescent="0.25">
      <c r="A8" s="66" t="s">
        <v>135</v>
      </c>
      <c r="B8" s="67"/>
      <c r="C8" s="67"/>
      <c r="D8" s="67">
        <v>2</v>
      </c>
      <c r="E8" s="67">
        <v>18</v>
      </c>
      <c r="F8" s="67">
        <v>20</v>
      </c>
      <c r="H8" s="20" t="s">
        <v>136</v>
      </c>
      <c r="I8">
        <f t="shared" si="0"/>
        <v>12</v>
      </c>
    </row>
    <row r="9" spans="1:9" x14ac:dyDescent="0.25">
      <c r="A9" s="66" t="s">
        <v>136</v>
      </c>
      <c r="B9" s="67"/>
      <c r="C9" s="67"/>
      <c r="D9" s="67"/>
      <c r="E9" s="67">
        <v>12</v>
      </c>
      <c r="F9" s="67">
        <v>12</v>
      </c>
      <c r="H9" s="20" t="s">
        <v>137</v>
      </c>
      <c r="I9">
        <f t="shared" si="0"/>
        <v>16</v>
      </c>
    </row>
    <row r="10" spans="1:9" x14ac:dyDescent="0.25">
      <c r="A10" s="66" t="s">
        <v>137</v>
      </c>
      <c r="B10" s="67"/>
      <c r="C10" s="67">
        <v>1</v>
      </c>
      <c r="D10" s="67">
        <v>2</v>
      </c>
      <c r="E10" s="67">
        <v>13</v>
      </c>
      <c r="F10" s="67">
        <v>16</v>
      </c>
      <c r="H10" s="20" t="s">
        <v>138</v>
      </c>
      <c r="I10">
        <f t="shared" si="0"/>
        <v>48</v>
      </c>
    </row>
    <row r="11" spans="1:9" x14ac:dyDescent="0.25">
      <c r="A11" s="66" t="s">
        <v>138</v>
      </c>
      <c r="B11" s="67"/>
      <c r="C11" s="67"/>
      <c r="D11" s="67">
        <v>6</v>
      </c>
      <c r="E11" s="67">
        <v>42</v>
      </c>
      <c r="F11" s="67">
        <v>48</v>
      </c>
      <c r="H11" s="20" t="s">
        <v>139</v>
      </c>
      <c r="I11">
        <f t="shared" si="0"/>
        <v>53</v>
      </c>
    </row>
    <row r="12" spans="1:9" x14ac:dyDescent="0.25">
      <c r="A12" s="66" t="s">
        <v>139</v>
      </c>
      <c r="B12" s="67"/>
      <c r="C12" s="67">
        <v>1</v>
      </c>
      <c r="D12" s="67">
        <v>14</v>
      </c>
      <c r="E12" s="67">
        <v>38</v>
      </c>
      <c r="F12" s="67">
        <v>53</v>
      </c>
      <c r="H12" s="20" t="s">
        <v>140</v>
      </c>
      <c r="I12">
        <f t="shared" si="0"/>
        <v>12</v>
      </c>
    </row>
    <row r="13" spans="1:9" x14ac:dyDescent="0.25">
      <c r="A13" s="66" t="s">
        <v>140</v>
      </c>
      <c r="B13" s="67"/>
      <c r="C13" s="67"/>
      <c r="D13" s="67">
        <v>1</v>
      </c>
      <c r="E13" s="67">
        <v>11</v>
      </c>
      <c r="F13" s="67">
        <v>12</v>
      </c>
      <c r="H13" s="20" t="s">
        <v>141</v>
      </c>
      <c r="I13">
        <f t="shared" si="0"/>
        <v>5</v>
      </c>
    </row>
    <row r="14" spans="1:9" x14ac:dyDescent="0.25">
      <c r="A14" s="66" t="s">
        <v>141</v>
      </c>
      <c r="B14" s="67"/>
      <c r="C14" s="67"/>
      <c r="D14" s="67">
        <v>1</v>
      </c>
      <c r="E14" s="67">
        <v>4</v>
      </c>
      <c r="F14" s="67">
        <v>5</v>
      </c>
      <c r="H14" s="20" t="s">
        <v>142</v>
      </c>
      <c r="I14">
        <f t="shared" si="0"/>
        <v>128</v>
      </c>
    </row>
    <row r="15" spans="1:9" x14ac:dyDescent="0.25">
      <c r="A15" s="66" t="s">
        <v>142</v>
      </c>
      <c r="B15" s="67"/>
      <c r="C15" s="67"/>
      <c r="D15" s="67">
        <v>18</v>
      </c>
      <c r="E15" s="67">
        <v>110</v>
      </c>
      <c r="F15" s="67">
        <v>128</v>
      </c>
      <c r="H15" t="s">
        <v>143</v>
      </c>
      <c r="I15" t="e">
        <f t="shared" si="0"/>
        <v>#N/A</v>
      </c>
    </row>
    <row r="16" spans="1:9" x14ac:dyDescent="0.25">
      <c r="A16" s="66" t="s">
        <v>1219</v>
      </c>
      <c r="B16" s="67">
        <v>7</v>
      </c>
      <c r="C16" s="67"/>
      <c r="D16" s="67">
        <v>3</v>
      </c>
      <c r="E16" s="67">
        <v>20</v>
      </c>
      <c r="F16" s="67">
        <v>30</v>
      </c>
      <c r="H16" s="20" t="s">
        <v>144</v>
      </c>
      <c r="I16">
        <f t="shared" si="0"/>
        <v>19</v>
      </c>
    </row>
    <row r="17" spans="1:9" x14ac:dyDescent="0.25">
      <c r="A17" s="66" t="s">
        <v>144</v>
      </c>
      <c r="B17" s="67"/>
      <c r="C17" s="67"/>
      <c r="D17" s="67"/>
      <c r="E17" s="67">
        <v>19</v>
      </c>
      <c r="F17" s="67">
        <v>19</v>
      </c>
      <c r="H17" s="20" t="s">
        <v>145</v>
      </c>
      <c r="I17">
        <f t="shared" si="0"/>
        <v>31</v>
      </c>
    </row>
    <row r="18" spans="1:9" x14ac:dyDescent="0.25">
      <c r="A18" s="66" t="s">
        <v>145</v>
      </c>
      <c r="B18" s="67"/>
      <c r="C18" s="67"/>
      <c r="D18" s="67"/>
      <c r="E18" s="67">
        <v>31</v>
      </c>
      <c r="F18" s="67">
        <v>31</v>
      </c>
      <c r="H18" s="20" t="s">
        <v>146</v>
      </c>
      <c r="I18">
        <f t="shared" si="0"/>
        <v>18</v>
      </c>
    </row>
    <row r="19" spans="1:9" x14ac:dyDescent="0.25">
      <c r="A19" s="66" t="s">
        <v>146</v>
      </c>
      <c r="B19" s="67"/>
      <c r="C19" s="67">
        <v>5</v>
      </c>
      <c r="D19" s="67"/>
      <c r="E19" s="67">
        <v>13</v>
      </c>
      <c r="F19" s="67">
        <v>18</v>
      </c>
      <c r="H19" s="20" t="s">
        <v>147</v>
      </c>
      <c r="I19">
        <f t="shared" si="0"/>
        <v>22</v>
      </c>
    </row>
    <row r="20" spans="1:9" x14ac:dyDescent="0.25">
      <c r="A20" s="66" t="s">
        <v>147</v>
      </c>
      <c r="B20" s="67"/>
      <c r="C20" s="67"/>
      <c r="D20" s="67">
        <v>2</v>
      </c>
      <c r="E20" s="67">
        <v>20</v>
      </c>
      <c r="F20" s="67">
        <v>22</v>
      </c>
      <c r="H20" s="20" t="s">
        <v>148</v>
      </c>
      <c r="I20">
        <f t="shared" si="0"/>
        <v>19</v>
      </c>
    </row>
    <row r="21" spans="1:9" x14ac:dyDescent="0.25">
      <c r="A21" s="66" t="s">
        <v>148</v>
      </c>
      <c r="B21" s="67"/>
      <c r="C21" s="67">
        <v>3</v>
      </c>
      <c r="D21" s="67">
        <v>3</v>
      </c>
      <c r="E21" s="67">
        <v>13</v>
      </c>
      <c r="F21" s="67">
        <v>19</v>
      </c>
      <c r="H21" s="20" t="s">
        <v>149</v>
      </c>
      <c r="I21">
        <f t="shared" si="0"/>
        <v>31</v>
      </c>
    </row>
    <row r="22" spans="1:9" x14ac:dyDescent="0.25">
      <c r="A22" s="66" t="s">
        <v>149</v>
      </c>
      <c r="B22" s="67"/>
      <c r="C22" s="67"/>
      <c r="D22" s="67">
        <v>6</v>
      </c>
      <c r="E22" s="67">
        <v>25</v>
      </c>
      <c r="F22" s="67">
        <v>31</v>
      </c>
      <c r="H22" s="20" t="s">
        <v>150</v>
      </c>
      <c r="I22">
        <f t="shared" si="0"/>
        <v>16</v>
      </c>
    </row>
    <row r="23" spans="1:9" x14ac:dyDescent="0.25">
      <c r="A23" s="66" t="s">
        <v>150</v>
      </c>
      <c r="B23" s="67"/>
      <c r="C23" s="67"/>
      <c r="D23" s="67">
        <v>1</v>
      </c>
      <c r="E23" s="67">
        <v>15</v>
      </c>
      <c r="F23" s="67">
        <v>16</v>
      </c>
      <c r="H23" s="20" t="s">
        <v>151</v>
      </c>
      <c r="I23">
        <f t="shared" si="0"/>
        <v>16</v>
      </c>
    </row>
    <row r="24" spans="1:9" x14ac:dyDescent="0.25">
      <c r="A24" s="66" t="s">
        <v>151</v>
      </c>
      <c r="B24" s="67"/>
      <c r="C24" s="67"/>
      <c r="D24" s="67">
        <v>7</v>
      </c>
      <c r="E24" s="67">
        <v>9</v>
      </c>
      <c r="F24" s="67">
        <v>16</v>
      </c>
      <c r="H24" s="20" t="s">
        <v>152</v>
      </c>
      <c r="I24">
        <f t="shared" si="0"/>
        <v>22</v>
      </c>
    </row>
    <row r="25" spans="1:9" x14ac:dyDescent="0.25">
      <c r="A25" s="66" t="s">
        <v>152</v>
      </c>
      <c r="B25" s="67"/>
      <c r="C25" s="67"/>
      <c r="D25" s="67">
        <v>1</v>
      </c>
      <c r="E25" s="67">
        <v>21</v>
      </c>
      <c r="F25" s="67">
        <v>22</v>
      </c>
      <c r="H25" s="20" t="s">
        <v>533</v>
      </c>
      <c r="I25">
        <f t="shared" si="0"/>
        <v>31</v>
      </c>
    </row>
    <row r="26" spans="1:9" x14ac:dyDescent="0.25">
      <c r="A26" s="66" t="s">
        <v>533</v>
      </c>
      <c r="B26" s="67"/>
      <c r="C26" s="67"/>
      <c r="D26" s="67">
        <v>4</v>
      </c>
      <c r="E26" s="67">
        <v>27</v>
      </c>
      <c r="F26" s="67">
        <v>31</v>
      </c>
      <c r="H26" s="20" t="s">
        <v>153</v>
      </c>
      <c r="I26">
        <f t="shared" si="0"/>
        <v>20</v>
      </c>
    </row>
    <row r="27" spans="1:9" x14ac:dyDescent="0.25">
      <c r="A27" s="66" t="s">
        <v>153</v>
      </c>
      <c r="B27" s="67"/>
      <c r="C27" s="67"/>
      <c r="D27" s="67">
        <v>3</v>
      </c>
      <c r="E27" s="67">
        <v>17</v>
      </c>
      <c r="F27" s="67">
        <v>20</v>
      </c>
      <c r="H27" s="20" t="s">
        <v>127</v>
      </c>
      <c r="I27">
        <f t="shared" si="0"/>
        <v>2</v>
      </c>
    </row>
    <row r="28" spans="1:9" x14ac:dyDescent="0.25">
      <c r="A28" s="66" t="s">
        <v>127</v>
      </c>
      <c r="B28" s="67"/>
      <c r="C28" s="67"/>
      <c r="D28" s="67"/>
      <c r="E28" s="67">
        <v>2</v>
      </c>
      <c r="F28" s="67">
        <v>2</v>
      </c>
      <c r="H28" s="20" t="s">
        <v>154</v>
      </c>
      <c r="I28">
        <f t="shared" si="0"/>
        <v>32</v>
      </c>
    </row>
    <row r="29" spans="1:9" x14ac:dyDescent="0.25">
      <c r="A29" s="66" t="s">
        <v>154</v>
      </c>
      <c r="B29" s="67"/>
      <c r="C29" s="67">
        <v>4</v>
      </c>
      <c r="D29" s="67">
        <v>5</v>
      </c>
      <c r="E29" s="67">
        <v>23</v>
      </c>
      <c r="F29" s="67">
        <v>32</v>
      </c>
    </row>
    <row r="30" spans="1:9" x14ac:dyDescent="0.25">
      <c r="A30" s="66" t="s">
        <v>1216</v>
      </c>
      <c r="B30" s="67">
        <v>7</v>
      </c>
      <c r="C30" s="67">
        <v>14</v>
      </c>
      <c r="D30" s="67">
        <v>83</v>
      </c>
      <c r="E30" s="67">
        <v>536</v>
      </c>
      <c r="F30" s="67">
        <v>640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60"/>
  <sheetViews>
    <sheetView tabSelected="1" zoomScale="93" zoomScaleNormal="93" workbookViewId="0">
      <pane ySplit="1" topLeftCell="A566" activePane="bottomLeft" state="frozen"/>
      <selection pane="bottomLeft" activeCell="K647" sqref="K647"/>
    </sheetView>
  </sheetViews>
  <sheetFormatPr baseColWidth="10" defaultColWidth="11.5703125" defaultRowHeight="15" x14ac:dyDescent="0.25"/>
  <cols>
    <col min="1" max="1" width="20.5703125" style="15" customWidth="1"/>
    <col min="2" max="2" width="18.85546875" style="15" customWidth="1"/>
    <col min="3" max="3" width="34.28515625" style="15" customWidth="1"/>
    <col min="4" max="4" width="38.7109375" style="15" customWidth="1"/>
    <col min="5" max="5" width="22" style="15" customWidth="1"/>
    <col min="6" max="6" width="20.5703125" style="18" customWidth="1"/>
    <col min="7" max="7" width="30.28515625" style="18" customWidth="1"/>
    <col min="8" max="8" width="19" style="18" customWidth="1"/>
    <col min="9" max="9" width="49.5703125" style="18" customWidth="1"/>
    <col min="10" max="10" width="25.28515625" style="18" bestFit="1" customWidth="1"/>
    <col min="11" max="12" width="20.7109375" style="18" bestFit="1" customWidth="1"/>
    <col min="13" max="13" width="30.85546875" style="17" customWidth="1"/>
    <col min="14" max="16384" width="11.5703125" style="17"/>
  </cols>
  <sheetData>
    <row r="1" spans="1:19" s="8" customFormat="1" ht="48" customHeight="1" x14ac:dyDescent="0.25">
      <c r="A1" s="1" t="s">
        <v>0</v>
      </c>
      <c r="B1" s="1" t="s">
        <v>1</v>
      </c>
      <c r="C1" s="2" t="s">
        <v>2</v>
      </c>
      <c r="D1" s="3" t="s">
        <v>3</v>
      </c>
      <c r="E1" s="2" t="s">
        <v>4</v>
      </c>
      <c r="F1" s="4" t="s">
        <v>53</v>
      </c>
      <c r="G1" s="5" t="s">
        <v>55</v>
      </c>
      <c r="H1" s="6" t="s">
        <v>54</v>
      </c>
      <c r="I1" s="6" t="s">
        <v>56</v>
      </c>
      <c r="J1" s="6" t="s">
        <v>57</v>
      </c>
      <c r="K1" s="6" t="s">
        <v>58</v>
      </c>
      <c r="L1" s="6" t="s">
        <v>59</v>
      </c>
      <c r="M1" s="7" t="s">
        <v>1212</v>
      </c>
      <c r="N1" s="7"/>
      <c r="O1" s="7"/>
      <c r="P1" s="7"/>
      <c r="Q1" s="7"/>
      <c r="R1" s="7"/>
      <c r="S1" s="7"/>
    </row>
    <row r="2" spans="1:19" x14ac:dyDescent="0.25">
      <c r="A2" s="11" t="s">
        <v>5</v>
      </c>
      <c r="B2" s="11" t="s">
        <v>6</v>
      </c>
      <c r="C2" s="12" t="s">
        <v>7</v>
      </c>
      <c r="D2" s="9" t="s">
        <v>60</v>
      </c>
      <c r="E2" s="9">
        <v>34.5</v>
      </c>
      <c r="F2" s="19">
        <v>15</v>
      </c>
      <c r="G2" s="16" t="s">
        <v>86</v>
      </c>
      <c r="H2" s="13">
        <v>15</v>
      </c>
      <c r="I2" s="13" t="s">
        <v>87</v>
      </c>
      <c r="J2" s="13" t="s">
        <v>88</v>
      </c>
      <c r="K2" s="16" t="s">
        <v>89</v>
      </c>
      <c r="L2" s="16" t="s">
        <v>90</v>
      </c>
      <c r="M2" s="64" t="s">
        <v>1213</v>
      </c>
    </row>
    <row r="3" spans="1:19" x14ac:dyDescent="0.25">
      <c r="A3" s="11" t="s">
        <v>5</v>
      </c>
      <c r="B3" s="11" t="s">
        <v>6</v>
      </c>
      <c r="C3" s="12" t="s">
        <v>8</v>
      </c>
      <c r="D3" s="9" t="s">
        <v>61</v>
      </c>
      <c r="E3" s="9">
        <v>34.5</v>
      </c>
      <c r="F3" s="19">
        <v>2.5</v>
      </c>
      <c r="G3" s="16" t="s">
        <v>86</v>
      </c>
      <c r="H3" s="13">
        <v>2.5</v>
      </c>
      <c r="I3" s="13" t="s">
        <v>91</v>
      </c>
      <c r="J3" s="13" t="s">
        <v>88</v>
      </c>
      <c r="K3" s="16" t="s">
        <v>89</v>
      </c>
      <c r="L3" s="16" t="s">
        <v>90</v>
      </c>
      <c r="M3" s="64" t="s">
        <v>1213</v>
      </c>
    </row>
    <row r="4" spans="1:19" x14ac:dyDescent="0.25">
      <c r="A4" s="11" t="s">
        <v>5</v>
      </c>
      <c r="B4" s="11" t="s">
        <v>6</v>
      </c>
      <c r="C4" s="12" t="s">
        <v>9</v>
      </c>
      <c r="D4" s="9" t="s">
        <v>62</v>
      </c>
      <c r="E4" s="9">
        <v>34.5</v>
      </c>
      <c r="F4" s="19">
        <v>26</v>
      </c>
      <c r="G4" s="16" t="s">
        <v>86</v>
      </c>
      <c r="H4" s="13">
        <v>26</v>
      </c>
      <c r="I4" s="13" t="s">
        <v>92</v>
      </c>
      <c r="J4" s="13" t="s">
        <v>88</v>
      </c>
      <c r="K4" s="16" t="s">
        <v>89</v>
      </c>
      <c r="L4" s="16" t="s">
        <v>93</v>
      </c>
      <c r="M4" s="64" t="s">
        <v>1213</v>
      </c>
    </row>
    <row r="5" spans="1:19" x14ac:dyDescent="0.25">
      <c r="A5" s="13" t="s">
        <v>5</v>
      </c>
      <c r="B5" s="13" t="s">
        <v>6</v>
      </c>
      <c r="C5" s="12" t="s">
        <v>10</v>
      </c>
      <c r="D5" s="9" t="s">
        <v>63</v>
      </c>
      <c r="E5" s="9">
        <v>34.5</v>
      </c>
      <c r="F5" s="19">
        <v>5</v>
      </c>
      <c r="G5" s="16" t="s">
        <v>86</v>
      </c>
      <c r="H5" s="13">
        <v>5</v>
      </c>
      <c r="I5" s="13" t="s">
        <v>94</v>
      </c>
      <c r="J5" s="13" t="s">
        <v>88</v>
      </c>
      <c r="K5" s="16" t="s">
        <v>89</v>
      </c>
      <c r="L5" s="16" t="s">
        <v>90</v>
      </c>
      <c r="M5" s="64" t="s">
        <v>1213</v>
      </c>
    </row>
    <row r="6" spans="1:19" x14ac:dyDescent="0.25">
      <c r="A6" s="11" t="s">
        <v>5</v>
      </c>
      <c r="B6" s="13" t="s">
        <v>6</v>
      </c>
      <c r="C6" s="12" t="s">
        <v>11</v>
      </c>
      <c r="D6" s="9" t="s">
        <v>64</v>
      </c>
      <c r="E6" s="9">
        <v>34.5</v>
      </c>
      <c r="F6" s="19">
        <v>20</v>
      </c>
      <c r="G6" s="16" t="s">
        <v>95</v>
      </c>
      <c r="H6" s="13">
        <v>10</v>
      </c>
      <c r="I6" s="13" t="s">
        <v>96</v>
      </c>
      <c r="J6" s="13" t="s">
        <v>88</v>
      </c>
      <c r="K6" s="16" t="s">
        <v>89</v>
      </c>
      <c r="L6" s="16" t="s">
        <v>90</v>
      </c>
      <c r="M6" s="64" t="s">
        <v>1213</v>
      </c>
    </row>
    <row r="7" spans="1:19" x14ac:dyDescent="0.25">
      <c r="A7" s="11" t="s">
        <v>5</v>
      </c>
      <c r="B7" s="13" t="s">
        <v>6</v>
      </c>
      <c r="C7" s="12" t="s">
        <v>11</v>
      </c>
      <c r="D7" s="9" t="s">
        <v>64</v>
      </c>
      <c r="E7" s="9">
        <v>34.5</v>
      </c>
      <c r="F7" s="19">
        <v>20</v>
      </c>
      <c r="G7" s="16" t="s">
        <v>97</v>
      </c>
      <c r="H7" s="13">
        <v>10</v>
      </c>
      <c r="I7" s="13" t="s">
        <v>98</v>
      </c>
      <c r="J7" s="13" t="s">
        <v>88</v>
      </c>
      <c r="K7" s="16" t="s">
        <v>89</v>
      </c>
      <c r="L7" s="16" t="s">
        <v>90</v>
      </c>
      <c r="M7" s="64" t="s">
        <v>1213</v>
      </c>
    </row>
    <row r="8" spans="1:19" x14ac:dyDescent="0.25">
      <c r="A8" s="11" t="s">
        <v>5</v>
      </c>
      <c r="B8" s="11" t="s">
        <v>6</v>
      </c>
      <c r="C8" s="12" t="s">
        <v>12</v>
      </c>
      <c r="D8" s="9" t="s">
        <v>65</v>
      </c>
      <c r="E8" s="9">
        <v>34.5</v>
      </c>
      <c r="F8" s="19">
        <v>5</v>
      </c>
      <c r="G8" s="16" t="s">
        <v>86</v>
      </c>
      <c r="H8" s="13">
        <v>5</v>
      </c>
      <c r="I8" s="13" t="s">
        <v>99</v>
      </c>
      <c r="J8" s="13" t="s">
        <v>88</v>
      </c>
      <c r="K8" s="16" t="s">
        <v>89</v>
      </c>
      <c r="L8" s="16" t="s">
        <v>90</v>
      </c>
      <c r="M8" s="64" t="s">
        <v>1213</v>
      </c>
    </row>
    <row r="9" spans="1:19" x14ac:dyDescent="0.25">
      <c r="A9" s="11" t="s">
        <v>5</v>
      </c>
      <c r="B9" s="11" t="s">
        <v>6</v>
      </c>
      <c r="C9" s="12" t="s">
        <v>13</v>
      </c>
      <c r="D9" s="9" t="s">
        <v>66</v>
      </c>
      <c r="E9" s="9">
        <v>34.5</v>
      </c>
      <c r="F9" s="19">
        <v>30</v>
      </c>
      <c r="G9" s="16" t="s">
        <v>95</v>
      </c>
      <c r="H9" s="13">
        <v>15</v>
      </c>
      <c r="I9" s="13" t="s">
        <v>100</v>
      </c>
      <c r="J9" s="13" t="s">
        <v>88</v>
      </c>
      <c r="K9" s="16" t="s">
        <v>89</v>
      </c>
      <c r="L9" s="16" t="s">
        <v>90</v>
      </c>
      <c r="M9" s="64" t="s">
        <v>1213</v>
      </c>
    </row>
    <row r="10" spans="1:19" x14ac:dyDescent="0.25">
      <c r="A10" s="11" t="s">
        <v>5</v>
      </c>
      <c r="B10" s="11" t="s">
        <v>6</v>
      </c>
      <c r="C10" s="12" t="s">
        <v>13</v>
      </c>
      <c r="D10" s="9" t="s">
        <v>66</v>
      </c>
      <c r="E10" s="9">
        <v>34.5</v>
      </c>
      <c r="F10" s="19">
        <v>30</v>
      </c>
      <c r="G10" s="16" t="s">
        <v>97</v>
      </c>
      <c r="H10" s="13">
        <v>15</v>
      </c>
      <c r="I10" s="13" t="s">
        <v>101</v>
      </c>
      <c r="J10" s="13" t="s">
        <v>88</v>
      </c>
      <c r="K10" s="16" t="s">
        <v>89</v>
      </c>
      <c r="L10" s="16" t="s">
        <v>90</v>
      </c>
      <c r="M10" s="64" t="s">
        <v>1213</v>
      </c>
    </row>
    <row r="11" spans="1:19" x14ac:dyDescent="0.25">
      <c r="A11" s="11" t="s">
        <v>5</v>
      </c>
      <c r="B11" s="11" t="s">
        <v>6</v>
      </c>
      <c r="C11" s="12" t="s">
        <v>14</v>
      </c>
      <c r="D11" s="9" t="s">
        <v>67</v>
      </c>
      <c r="E11" s="9">
        <v>34.5</v>
      </c>
      <c r="F11" s="19">
        <v>10</v>
      </c>
      <c r="G11" s="16" t="s">
        <v>86</v>
      </c>
      <c r="H11" s="13">
        <v>10</v>
      </c>
      <c r="I11" s="13" t="s">
        <v>102</v>
      </c>
      <c r="J11" s="13" t="s">
        <v>88</v>
      </c>
      <c r="K11" s="16" t="s">
        <v>89</v>
      </c>
      <c r="L11" s="16" t="s">
        <v>90</v>
      </c>
      <c r="M11" s="64" t="s">
        <v>1213</v>
      </c>
    </row>
    <row r="12" spans="1:19" x14ac:dyDescent="0.25">
      <c r="A12" s="11" t="s">
        <v>5</v>
      </c>
      <c r="B12" s="11" t="s">
        <v>6</v>
      </c>
      <c r="C12" s="12" t="s">
        <v>15</v>
      </c>
      <c r="D12" s="9" t="s">
        <v>68</v>
      </c>
      <c r="E12" s="9">
        <v>34.5</v>
      </c>
      <c r="F12" s="19">
        <v>7.5</v>
      </c>
      <c r="G12" s="16" t="s">
        <v>86</v>
      </c>
      <c r="H12" s="13">
        <v>7.5</v>
      </c>
      <c r="I12" s="13" t="s">
        <v>102</v>
      </c>
      <c r="J12" s="13" t="s">
        <v>88</v>
      </c>
      <c r="K12" s="16" t="s">
        <v>89</v>
      </c>
      <c r="L12" s="16" t="s">
        <v>90</v>
      </c>
      <c r="M12" s="64" t="s">
        <v>1213</v>
      </c>
    </row>
    <row r="13" spans="1:19" x14ac:dyDescent="0.25">
      <c r="A13" s="11" t="s">
        <v>5</v>
      </c>
      <c r="B13" s="11" t="s">
        <v>6</v>
      </c>
      <c r="C13" s="12" t="s">
        <v>16</v>
      </c>
      <c r="D13" s="9" t="s">
        <v>69</v>
      </c>
      <c r="E13" s="9">
        <v>34.5</v>
      </c>
      <c r="F13" s="19">
        <v>10</v>
      </c>
      <c r="G13" s="16" t="s">
        <v>86</v>
      </c>
      <c r="H13" s="13">
        <v>10</v>
      </c>
      <c r="I13" s="13" t="s">
        <v>103</v>
      </c>
      <c r="J13" s="13" t="s">
        <v>88</v>
      </c>
      <c r="K13" s="16" t="s">
        <v>89</v>
      </c>
      <c r="L13" s="16" t="s">
        <v>90</v>
      </c>
      <c r="M13" s="64" t="s">
        <v>1213</v>
      </c>
    </row>
    <row r="14" spans="1:19" x14ac:dyDescent="0.25">
      <c r="A14" s="11" t="s">
        <v>5</v>
      </c>
      <c r="B14" s="11" t="s">
        <v>6</v>
      </c>
      <c r="C14" s="12" t="s">
        <v>17</v>
      </c>
      <c r="D14" s="9" t="s">
        <v>70</v>
      </c>
      <c r="E14" s="9">
        <v>34.5</v>
      </c>
      <c r="F14" s="19">
        <v>25</v>
      </c>
      <c r="G14" s="16" t="s">
        <v>95</v>
      </c>
      <c r="H14" s="13">
        <v>15</v>
      </c>
      <c r="I14" s="13" t="s">
        <v>104</v>
      </c>
      <c r="J14" s="13" t="s">
        <v>88</v>
      </c>
      <c r="K14" s="16" t="s">
        <v>89</v>
      </c>
      <c r="L14" s="16" t="s">
        <v>90</v>
      </c>
      <c r="M14" s="64" t="s">
        <v>1213</v>
      </c>
    </row>
    <row r="15" spans="1:19" x14ac:dyDescent="0.25">
      <c r="A15" s="11" t="s">
        <v>5</v>
      </c>
      <c r="B15" s="11" t="s">
        <v>6</v>
      </c>
      <c r="C15" s="12" t="s">
        <v>17</v>
      </c>
      <c r="D15" s="9" t="s">
        <v>70</v>
      </c>
      <c r="E15" s="9">
        <v>34.5</v>
      </c>
      <c r="F15" s="19">
        <v>25</v>
      </c>
      <c r="G15" s="13" t="s">
        <v>97</v>
      </c>
      <c r="H15" s="13">
        <v>10</v>
      </c>
      <c r="I15" s="13" t="s">
        <v>105</v>
      </c>
      <c r="J15" s="13" t="s">
        <v>88</v>
      </c>
      <c r="K15" s="16" t="s">
        <v>89</v>
      </c>
      <c r="L15" s="16" t="s">
        <v>90</v>
      </c>
      <c r="M15" s="64" t="s">
        <v>1213</v>
      </c>
    </row>
    <row r="16" spans="1:19" x14ac:dyDescent="0.25">
      <c r="A16" s="11" t="s">
        <v>5</v>
      </c>
      <c r="B16" s="11" t="s">
        <v>6</v>
      </c>
      <c r="C16" s="12" t="s">
        <v>18</v>
      </c>
      <c r="D16" s="9" t="s">
        <v>71</v>
      </c>
      <c r="E16" s="9">
        <v>34.5</v>
      </c>
      <c r="F16" s="19">
        <v>10</v>
      </c>
      <c r="G16" s="16" t="s">
        <v>86</v>
      </c>
      <c r="H16" s="13">
        <v>10</v>
      </c>
      <c r="I16" s="13" t="s">
        <v>106</v>
      </c>
      <c r="J16" s="13" t="s">
        <v>88</v>
      </c>
      <c r="K16" s="16" t="s">
        <v>89</v>
      </c>
      <c r="L16" s="16" t="s">
        <v>90</v>
      </c>
      <c r="M16" s="64" t="s">
        <v>1213</v>
      </c>
    </row>
    <row r="17" spans="1:13" x14ac:dyDescent="0.25">
      <c r="A17" s="11" t="s">
        <v>5</v>
      </c>
      <c r="B17" s="11" t="s">
        <v>6</v>
      </c>
      <c r="C17" s="12" t="s">
        <v>19</v>
      </c>
      <c r="D17" s="9" t="s">
        <v>72</v>
      </c>
      <c r="E17" s="9">
        <v>34.5</v>
      </c>
      <c r="F17" s="14">
        <v>20</v>
      </c>
      <c r="G17" s="16" t="s">
        <v>97</v>
      </c>
      <c r="H17" s="13">
        <v>10</v>
      </c>
      <c r="I17" s="13" t="s">
        <v>107</v>
      </c>
      <c r="J17" s="13" t="s">
        <v>88</v>
      </c>
      <c r="K17" s="16" t="s">
        <v>89</v>
      </c>
      <c r="L17" s="16" t="s">
        <v>90</v>
      </c>
      <c r="M17" s="64" t="s">
        <v>1213</v>
      </c>
    </row>
    <row r="18" spans="1:13" x14ac:dyDescent="0.25">
      <c r="A18" s="11" t="s">
        <v>5</v>
      </c>
      <c r="B18" s="11" t="s">
        <v>6</v>
      </c>
      <c r="C18" s="12" t="s">
        <v>19</v>
      </c>
      <c r="D18" s="9" t="s">
        <v>72</v>
      </c>
      <c r="E18" s="9">
        <v>34.5</v>
      </c>
      <c r="F18" s="14">
        <v>20</v>
      </c>
      <c r="G18" s="16" t="s">
        <v>95</v>
      </c>
      <c r="H18" s="13">
        <v>10</v>
      </c>
      <c r="I18" s="13" t="s">
        <v>108</v>
      </c>
      <c r="J18" s="13" t="s">
        <v>88</v>
      </c>
      <c r="K18" s="16" t="s">
        <v>89</v>
      </c>
      <c r="L18" s="16" t="s">
        <v>90</v>
      </c>
      <c r="M18" s="64" t="s">
        <v>1213</v>
      </c>
    </row>
    <row r="19" spans="1:13" x14ac:dyDescent="0.25">
      <c r="A19" s="11" t="s">
        <v>5</v>
      </c>
      <c r="B19" s="11" t="s">
        <v>6</v>
      </c>
      <c r="C19" s="12" t="s">
        <v>20</v>
      </c>
      <c r="D19" s="9" t="s">
        <v>73</v>
      </c>
      <c r="E19" s="9">
        <v>34.5</v>
      </c>
      <c r="F19" s="19">
        <v>25</v>
      </c>
      <c r="G19" s="16"/>
      <c r="H19" s="13">
        <v>10</v>
      </c>
      <c r="I19" s="13"/>
      <c r="J19" s="13" t="s">
        <v>88</v>
      </c>
      <c r="K19" s="16" t="s">
        <v>109</v>
      </c>
      <c r="L19" s="16" t="s">
        <v>90</v>
      </c>
      <c r="M19" s="64" t="s">
        <v>1213</v>
      </c>
    </row>
    <row r="20" spans="1:13" x14ac:dyDescent="0.25">
      <c r="A20" s="11" t="s">
        <v>5</v>
      </c>
      <c r="B20" s="11" t="s">
        <v>6</v>
      </c>
      <c r="C20" s="12" t="s">
        <v>20</v>
      </c>
      <c r="D20" s="9" t="s">
        <v>73</v>
      </c>
      <c r="E20" s="9">
        <v>34.5</v>
      </c>
      <c r="F20" s="19">
        <v>25</v>
      </c>
      <c r="G20" s="13"/>
      <c r="H20" s="13">
        <v>15</v>
      </c>
      <c r="I20" s="13"/>
      <c r="J20" s="13" t="s">
        <v>88</v>
      </c>
      <c r="K20" s="16" t="s">
        <v>109</v>
      </c>
      <c r="L20" s="16" t="s">
        <v>90</v>
      </c>
      <c r="M20" s="64" t="s">
        <v>1213</v>
      </c>
    </row>
    <row r="21" spans="1:13" x14ac:dyDescent="0.25">
      <c r="A21" s="11" t="s">
        <v>5</v>
      </c>
      <c r="B21" s="11" t="s">
        <v>6</v>
      </c>
      <c r="C21" s="12" t="s">
        <v>21</v>
      </c>
      <c r="D21" s="9" t="s">
        <v>74</v>
      </c>
      <c r="E21" s="9">
        <v>34.5</v>
      </c>
      <c r="F21" s="19">
        <v>5</v>
      </c>
      <c r="G21" s="16" t="s">
        <v>86</v>
      </c>
      <c r="H21" s="13">
        <v>5</v>
      </c>
      <c r="I21" s="13" t="s">
        <v>110</v>
      </c>
      <c r="J21" s="13" t="s">
        <v>88</v>
      </c>
      <c r="K21" s="16" t="s">
        <v>89</v>
      </c>
      <c r="L21" s="16" t="s">
        <v>90</v>
      </c>
      <c r="M21" s="64" t="s">
        <v>1213</v>
      </c>
    </row>
    <row r="22" spans="1:13" x14ac:dyDescent="0.25">
      <c r="A22" s="11" t="s">
        <v>5</v>
      </c>
      <c r="B22" s="11" t="s">
        <v>6</v>
      </c>
      <c r="C22" s="12" t="s">
        <v>22</v>
      </c>
      <c r="D22" s="9" t="s">
        <v>75</v>
      </c>
      <c r="E22" s="9">
        <v>34.5</v>
      </c>
      <c r="F22" s="19">
        <v>20</v>
      </c>
      <c r="G22" s="16" t="s">
        <v>95</v>
      </c>
      <c r="H22" s="13">
        <v>10</v>
      </c>
      <c r="I22" s="13" t="s">
        <v>111</v>
      </c>
      <c r="J22" s="13" t="s">
        <v>88</v>
      </c>
      <c r="K22" s="16" t="s">
        <v>89</v>
      </c>
      <c r="L22" s="16" t="s">
        <v>90</v>
      </c>
      <c r="M22" s="64" t="s">
        <v>1213</v>
      </c>
    </row>
    <row r="23" spans="1:13" x14ac:dyDescent="0.25">
      <c r="A23" s="11" t="s">
        <v>5</v>
      </c>
      <c r="B23" s="11" t="s">
        <v>6</v>
      </c>
      <c r="C23" s="12" t="s">
        <v>22</v>
      </c>
      <c r="D23" s="9" t="s">
        <v>75</v>
      </c>
      <c r="E23" s="9">
        <v>34.5</v>
      </c>
      <c r="F23" s="19">
        <v>20</v>
      </c>
      <c r="G23" s="16" t="s">
        <v>97</v>
      </c>
      <c r="H23" s="13">
        <v>10</v>
      </c>
      <c r="I23" s="13" t="s">
        <v>112</v>
      </c>
      <c r="J23" s="13" t="s">
        <v>88</v>
      </c>
      <c r="K23" s="16" t="s">
        <v>89</v>
      </c>
      <c r="L23" s="16" t="s">
        <v>90</v>
      </c>
      <c r="M23" s="64" t="s">
        <v>1213</v>
      </c>
    </row>
    <row r="24" spans="1:13" x14ac:dyDescent="0.25">
      <c r="A24" s="13" t="s">
        <v>5</v>
      </c>
      <c r="B24" s="13" t="s">
        <v>6</v>
      </c>
      <c r="C24" s="12" t="s">
        <v>23</v>
      </c>
      <c r="D24" s="9" t="s">
        <v>76</v>
      </c>
      <c r="E24" s="9">
        <v>34.5</v>
      </c>
      <c r="F24" s="19">
        <v>10</v>
      </c>
      <c r="G24" s="16" t="s">
        <v>86</v>
      </c>
      <c r="H24" s="13">
        <v>10</v>
      </c>
      <c r="I24" s="13" t="s">
        <v>113</v>
      </c>
      <c r="J24" s="13" t="s">
        <v>114</v>
      </c>
      <c r="K24" s="16" t="s">
        <v>89</v>
      </c>
      <c r="L24" s="16" t="s">
        <v>93</v>
      </c>
      <c r="M24" s="64" t="s">
        <v>1213</v>
      </c>
    </row>
    <row r="25" spans="1:13" x14ac:dyDescent="0.25">
      <c r="A25" s="11" t="s">
        <v>5</v>
      </c>
      <c r="B25" s="11" t="s">
        <v>6</v>
      </c>
      <c r="C25" s="12" t="s">
        <v>24</v>
      </c>
      <c r="D25" s="9" t="s">
        <v>77</v>
      </c>
      <c r="E25" s="9">
        <v>34.5</v>
      </c>
      <c r="F25" s="19">
        <v>0</v>
      </c>
      <c r="G25" s="13"/>
      <c r="H25" s="13">
        <v>0</v>
      </c>
      <c r="I25" s="13"/>
      <c r="J25" s="13" t="s">
        <v>88</v>
      </c>
      <c r="K25" s="16" t="s">
        <v>109</v>
      </c>
      <c r="L25" s="16" t="s">
        <v>93</v>
      </c>
      <c r="M25" s="64" t="s">
        <v>1213</v>
      </c>
    </row>
    <row r="26" spans="1:13" x14ac:dyDescent="0.25">
      <c r="A26" s="11" t="s">
        <v>5</v>
      </c>
      <c r="B26" s="11" t="s">
        <v>6</v>
      </c>
      <c r="C26" s="12" t="s">
        <v>25</v>
      </c>
      <c r="D26" s="9" t="s">
        <v>78</v>
      </c>
      <c r="E26" s="9">
        <v>34.5</v>
      </c>
      <c r="F26" s="19">
        <v>20</v>
      </c>
      <c r="G26" s="16" t="s">
        <v>95</v>
      </c>
      <c r="H26" s="13">
        <v>10</v>
      </c>
      <c r="I26" s="13" t="s">
        <v>115</v>
      </c>
      <c r="J26" s="13" t="s">
        <v>88</v>
      </c>
      <c r="K26" s="16" t="s">
        <v>89</v>
      </c>
      <c r="L26" s="16" t="s">
        <v>90</v>
      </c>
      <c r="M26" s="64" t="s">
        <v>1213</v>
      </c>
    </row>
    <row r="27" spans="1:13" x14ac:dyDescent="0.25">
      <c r="A27" s="11" t="s">
        <v>5</v>
      </c>
      <c r="B27" s="11" t="s">
        <v>6</v>
      </c>
      <c r="C27" s="12" t="s">
        <v>25</v>
      </c>
      <c r="D27" s="9" t="s">
        <v>78</v>
      </c>
      <c r="E27" s="9">
        <v>34.5</v>
      </c>
      <c r="F27" s="19">
        <v>20</v>
      </c>
      <c r="G27" s="16" t="s">
        <v>97</v>
      </c>
      <c r="H27" s="13">
        <v>10</v>
      </c>
      <c r="I27" s="13" t="s">
        <v>116</v>
      </c>
      <c r="J27" s="13" t="s">
        <v>88</v>
      </c>
      <c r="K27" s="16" t="s">
        <v>89</v>
      </c>
      <c r="L27" s="16" t="s">
        <v>90</v>
      </c>
      <c r="M27" s="64" t="s">
        <v>1213</v>
      </c>
    </row>
    <row r="28" spans="1:13" x14ac:dyDescent="0.25">
      <c r="A28" s="11" t="s">
        <v>5</v>
      </c>
      <c r="B28" s="11" t="s">
        <v>6</v>
      </c>
      <c r="C28" s="12" t="s">
        <v>26</v>
      </c>
      <c r="D28" s="9" t="s">
        <v>79</v>
      </c>
      <c r="E28" s="9">
        <v>34.5</v>
      </c>
      <c r="F28" s="19">
        <v>5</v>
      </c>
      <c r="G28" s="16" t="s">
        <v>86</v>
      </c>
      <c r="H28" s="13">
        <v>5</v>
      </c>
      <c r="I28" s="13" t="s">
        <v>117</v>
      </c>
      <c r="J28" s="13" t="s">
        <v>88</v>
      </c>
      <c r="K28" s="16" t="s">
        <v>89</v>
      </c>
      <c r="L28" s="16" t="s">
        <v>90</v>
      </c>
      <c r="M28" s="64" t="s">
        <v>1213</v>
      </c>
    </row>
    <row r="29" spans="1:13" x14ac:dyDescent="0.25">
      <c r="A29" s="11" t="s">
        <v>5</v>
      </c>
      <c r="B29" s="11" t="s">
        <v>6</v>
      </c>
      <c r="C29" s="12" t="s">
        <v>27</v>
      </c>
      <c r="D29" s="9" t="s">
        <v>80</v>
      </c>
      <c r="E29" s="9">
        <v>34.5</v>
      </c>
      <c r="F29" s="19">
        <v>10</v>
      </c>
      <c r="G29" s="16" t="s">
        <v>86</v>
      </c>
      <c r="H29" s="13">
        <v>10</v>
      </c>
      <c r="I29" s="13" t="s">
        <v>118</v>
      </c>
      <c r="J29" s="13" t="s">
        <v>88</v>
      </c>
      <c r="K29" s="16" t="s">
        <v>89</v>
      </c>
      <c r="L29" s="16" t="s">
        <v>90</v>
      </c>
      <c r="M29" s="64" t="s">
        <v>1213</v>
      </c>
    </row>
    <row r="30" spans="1:13" x14ac:dyDescent="0.25">
      <c r="A30" s="11" t="s">
        <v>5</v>
      </c>
      <c r="B30" s="11" t="s">
        <v>6</v>
      </c>
      <c r="C30" s="12" t="s">
        <v>28</v>
      </c>
      <c r="D30" s="16" t="s">
        <v>81</v>
      </c>
      <c r="E30" s="9">
        <v>34.5</v>
      </c>
      <c r="F30" s="19">
        <v>7.5</v>
      </c>
      <c r="G30" s="16" t="s">
        <v>86</v>
      </c>
      <c r="H30" s="13">
        <v>7.5</v>
      </c>
      <c r="I30" s="13" t="s">
        <v>119</v>
      </c>
      <c r="J30" s="13" t="s">
        <v>88</v>
      </c>
      <c r="K30" s="16" t="s">
        <v>89</v>
      </c>
      <c r="L30" s="16" t="s">
        <v>90</v>
      </c>
      <c r="M30" s="64" t="s">
        <v>1213</v>
      </c>
    </row>
    <row r="31" spans="1:13" x14ac:dyDescent="0.25">
      <c r="A31" s="11" t="s">
        <v>5</v>
      </c>
      <c r="B31" s="11" t="s">
        <v>6</v>
      </c>
      <c r="C31" s="12" t="s">
        <v>29</v>
      </c>
      <c r="D31" s="9" t="s">
        <v>82</v>
      </c>
      <c r="E31" s="9">
        <v>34.5</v>
      </c>
      <c r="F31" s="19">
        <v>10</v>
      </c>
      <c r="G31" s="16" t="s">
        <v>86</v>
      </c>
      <c r="H31" s="13">
        <v>10</v>
      </c>
      <c r="I31" s="13" t="s">
        <v>120</v>
      </c>
      <c r="J31" s="13" t="s">
        <v>88</v>
      </c>
      <c r="K31" s="16" t="s">
        <v>89</v>
      </c>
      <c r="L31" s="16" t="s">
        <v>90</v>
      </c>
      <c r="M31" s="64" t="s">
        <v>1213</v>
      </c>
    </row>
    <row r="32" spans="1:13" x14ac:dyDescent="0.25">
      <c r="A32" s="11" t="s">
        <v>5</v>
      </c>
      <c r="B32" s="11" t="s">
        <v>6</v>
      </c>
      <c r="C32" s="12" t="s">
        <v>30</v>
      </c>
      <c r="D32" s="9" t="s">
        <v>83</v>
      </c>
      <c r="E32" s="9">
        <v>34.5</v>
      </c>
      <c r="F32" s="19">
        <v>30</v>
      </c>
      <c r="G32" s="16" t="s">
        <v>97</v>
      </c>
      <c r="H32" s="13">
        <v>16</v>
      </c>
      <c r="I32" s="13" t="s">
        <v>121</v>
      </c>
      <c r="J32" s="13" t="s">
        <v>88</v>
      </c>
      <c r="K32" s="16" t="s">
        <v>89</v>
      </c>
      <c r="L32" s="16" t="s">
        <v>90</v>
      </c>
      <c r="M32" s="64" t="s">
        <v>1213</v>
      </c>
    </row>
    <row r="33" spans="1:13" x14ac:dyDescent="0.25">
      <c r="A33" s="11" t="s">
        <v>5</v>
      </c>
      <c r="B33" s="11" t="s">
        <v>6</v>
      </c>
      <c r="C33" s="12" t="s">
        <v>30</v>
      </c>
      <c r="D33" s="9" t="s">
        <v>83</v>
      </c>
      <c r="E33" s="9">
        <v>34.5</v>
      </c>
      <c r="F33" s="19">
        <v>30</v>
      </c>
      <c r="G33" s="16" t="s">
        <v>95</v>
      </c>
      <c r="H33" s="13">
        <v>14</v>
      </c>
      <c r="I33" s="13" t="s">
        <v>122</v>
      </c>
      <c r="J33" s="13" t="s">
        <v>88</v>
      </c>
      <c r="K33" s="16" t="s">
        <v>89</v>
      </c>
      <c r="L33" s="16" t="s">
        <v>90</v>
      </c>
      <c r="M33" s="64" t="s">
        <v>1213</v>
      </c>
    </row>
    <row r="34" spans="1:13" x14ac:dyDescent="0.25">
      <c r="A34" s="11" t="s">
        <v>5</v>
      </c>
      <c r="B34" s="11" t="s">
        <v>6</v>
      </c>
      <c r="C34" s="12" t="s">
        <v>31</v>
      </c>
      <c r="D34" s="9" t="s">
        <v>84</v>
      </c>
      <c r="E34" s="9">
        <v>34.5</v>
      </c>
      <c r="F34" s="19">
        <v>10</v>
      </c>
      <c r="G34" s="16" t="s">
        <v>86</v>
      </c>
      <c r="H34" s="13">
        <v>10</v>
      </c>
      <c r="I34" s="13" t="s">
        <v>123</v>
      </c>
      <c r="J34" s="13" t="s">
        <v>88</v>
      </c>
      <c r="K34" s="16" t="s">
        <v>89</v>
      </c>
      <c r="L34" s="16" t="s">
        <v>90</v>
      </c>
      <c r="M34" s="64" t="s">
        <v>1213</v>
      </c>
    </row>
    <row r="35" spans="1:13" x14ac:dyDescent="0.25">
      <c r="A35" s="11" t="s">
        <v>5</v>
      </c>
      <c r="B35" s="11" t="s">
        <v>6</v>
      </c>
      <c r="C35" s="12" t="s">
        <v>32</v>
      </c>
      <c r="D35" s="9" t="s">
        <v>85</v>
      </c>
      <c r="E35" s="9">
        <v>34.5</v>
      </c>
      <c r="F35" s="19">
        <v>25</v>
      </c>
      <c r="G35" s="16" t="s">
        <v>95</v>
      </c>
      <c r="H35" s="13">
        <v>15</v>
      </c>
      <c r="I35" s="13" t="s">
        <v>124</v>
      </c>
      <c r="J35" s="13" t="s">
        <v>88</v>
      </c>
      <c r="K35" s="16" t="s">
        <v>89</v>
      </c>
      <c r="L35" s="16" t="s">
        <v>90</v>
      </c>
      <c r="M35" s="64" t="s">
        <v>1213</v>
      </c>
    </row>
    <row r="36" spans="1:13" x14ac:dyDescent="0.25">
      <c r="A36" s="11" t="s">
        <v>5</v>
      </c>
      <c r="B36" s="11" t="s">
        <v>6</v>
      </c>
      <c r="C36" s="12" t="s">
        <v>32</v>
      </c>
      <c r="D36" s="9" t="s">
        <v>85</v>
      </c>
      <c r="E36" s="9">
        <v>34.5</v>
      </c>
      <c r="F36" s="19">
        <v>25</v>
      </c>
      <c r="G36" s="16" t="s">
        <v>97</v>
      </c>
      <c r="H36" s="13">
        <v>10</v>
      </c>
      <c r="I36" s="13" t="s">
        <v>125</v>
      </c>
      <c r="J36" s="13" t="s">
        <v>88</v>
      </c>
      <c r="K36" s="16" t="s">
        <v>89</v>
      </c>
      <c r="L36" s="16" t="s">
        <v>90</v>
      </c>
      <c r="M36" s="64" t="s">
        <v>1213</v>
      </c>
    </row>
    <row r="37" spans="1:13" x14ac:dyDescent="0.25">
      <c r="A37" s="11" t="s">
        <v>126</v>
      </c>
      <c r="B37" s="11" t="s">
        <v>127</v>
      </c>
      <c r="C37" s="12" t="s">
        <v>128</v>
      </c>
      <c r="D37" s="9" t="s">
        <v>129</v>
      </c>
      <c r="E37" s="9">
        <v>34.5</v>
      </c>
      <c r="F37" s="19">
        <v>10</v>
      </c>
      <c r="G37" s="16" t="s">
        <v>130</v>
      </c>
      <c r="H37" s="13">
        <v>10</v>
      </c>
      <c r="I37" s="13" t="s">
        <v>131</v>
      </c>
      <c r="J37" s="13" t="s">
        <v>114</v>
      </c>
      <c r="K37" s="16" t="s">
        <v>89</v>
      </c>
      <c r="L37" s="16" t="s">
        <v>90</v>
      </c>
      <c r="M37" s="64" t="s">
        <v>1213</v>
      </c>
    </row>
    <row r="38" spans="1:13" x14ac:dyDescent="0.25">
      <c r="A38" s="11" t="s">
        <v>126</v>
      </c>
      <c r="B38" s="11" t="s">
        <v>127</v>
      </c>
      <c r="C38" s="12" t="s">
        <v>128</v>
      </c>
      <c r="D38" s="9" t="s">
        <v>129</v>
      </c>
      <c r="E38" s="9">
        <v>34.5</v>
      </c>
      <c r="F38" s="19">
        <v>5</v>
      </c>
      <c r="G38" s="16" t="s">
        <v>132</v>
      </c>
      <c r="H38" s="13">
        <v>5</v>
      </c>
      <c r="I38" s="13" t="s">
        <v>133</v>
      </c>
      <c r="J38" s="13" t="s">
        <v>88</v>
      </c>
      <c r="K38" s="16" t="s">
        <v>89</v>
      </c>
      <c r="L38" s="16" t="s">
        <v>90</v>
      </c>
      <c r="M38" s="64" t="s">
        <v>1213</v>
      </c>
    </row>
    <row r="39" spans="1:13" x14ac:dyDescent="0.25">
      <c r="A39" s="11" t="s">
        <v>155</v>
      </c>
      <c r="B39" s="11" t="s">
        <v>150</v>
      </c>
      <c r="C39" s="12" t="s">
        <v>156</v>
      </c>
      <c r="D39" s="9" t="s">
        <v>157</v>
      </c>
      <c r="E39" s="9">
        <v>34.5</v>
      </c>
      <c r="F39" s="19">
        <v>8.3333333333333339</v>
      </c>
      <c r="G39" s="16" t="s">
        <v>158</v>
      </c>
      <c r="H39" s="13">
        <v>7.5</v>
      </c>
      <c r="I39" s="13" t="s">
        <v>159</v>
      </c>
      <c r="J39" s="13" t="s">
        <v>114</v>
      </c>
      <c r="K39" s="16" t="s">
        <v>89</v>
      </c>
      <c r="L39" s="16" t="s">
        <v>90</v>
      </c>
      <c r="M39" s="64" t="s">
        <v>1213</v>
      </c>
    </row>
    <row r="40" spans="1:13" x14ac:dyDescent="0.25">
      <c r="A40" s="11" t="s">
        <v>155</v>
      </c>
      <c r="B40" s="11" t="s">
        <v>150</v>
      </c>
      <c r="C40" s="12" t="s">
        <v>156</v>
      </c>
      <c r="D40" s="9" t="s">
        <v>157</v>
      </c>
      <c r="E40" s="9">
        <v>34.5</v>
      </c>
      <c r="F40" s="19">
        <v>16.666666666666668</v>
      </c>
      <c r="G40" s="16" t="s">
        <v>160</v>
      </c>
      <c r="H40" s="13">
        <v>15</v>
      </c>
      <c r="I40" s="13" t="s">
        <v>161</v>
      </c>
      <c r="J40" s="13" t="s">
        <v>114</v>
      </c>
      <c r="K40" s="16" t="s">
        <v>89</v>
      </c>
      <c r="L40" s="16" t="s">
        <v>90</v>
      </c>
      <c r="M40" s="64" t="s">
        <v>1213</v>
      </c>
    </row>
    <row r="41" spans="1:13" x14ac:dyDescent="0.25">
      <c r="A41" s="11" t="s">
        <v>155</v>
      </c>
      <c r="B41" s="11" t="s">
        <v>150</v>
      </c>
      <c r="C41" s="12" t="s">
        <v>162</v>
      </c>
      <c r="D41" s="9" t="s">
        <v>163</v>
      </c>
      <c r="E41" s="9">
        <v>34.5</v>
      </c>
      <c r="F41" s="19">
        <v>27.777777777777779</v>
      </c>
      <c r="G41" s="16" t="s">
        <v>158</v>
      </c>
      <c r="H41" s="13">
        <v>25</v>
      </c>
      <c r="I41" s="13" t="s">
        <v>164</v>
      </c>
      <c r="J41" s="13" t="s">
        <v>114</v>
      </c>
      <c r="K41" s="16" t="s">
        <v>89</v>
      </c>
      <c r="L41" s="16" t="s">
        <v>90</v>
      </c>
      <c r="M41" s="64" t="s">
        <v>1213</v>
      </c>
    </row>
    <row r="42" spans="1:13" x14ac:dyDescent="0.25">
      <c r="A42" s="11" t="s">
        <v>155</v>
      </c>
      <c r="B42" s="11" t="s">
        <v>150</v>
      </c>
      <c r="C42" s="12" t="s">
        <v>165</v>
      </c>
      <c r="D42" s="9" t="s">
        <v>166</v>
      </c>
      <c r="E42" s="9">
        <v>34.5</v>
      </c>
      <c r="F42" s="19">
        <v>11.111111111111111</v>
      </c>
      <c r="G42" s="16" t="s">
        <v>158</v>
      </c>
      <c r="H42" s="13">
        <v>10</v>
      </c>
      <c r="I42" s="13" t="s">
        <v>167</v>
      </c>
      <c r="J42" s="13" t="s">
        <v>114</v>
      </c>
      <c r="K42" s="16" t="s">
        <v>89</v>
      </c>
      <c r="L42" s="16" t="s">
        <v>90</v>
      </c>
      <c r="M42" s="64" t="s">
        <v>1213</v>
      </c>
    </row>
    <row r="43" spans="1:13" x14ac:dyDescent="0.25">
      <c r="A43" s="11" t="s">
        <v>155</v>
      </c>
      <c r="B43" s="11" t="s">
        <v>150</v>
      </c>
      <c r="C43" s="12" t="s">
        <v>165</v>
      </c>
      <c r="D43" s="9" t="s">
        <v>166</v>
      </c>
      <c r="E43" s="9">
        <v>34.5</v>
      </c>
      <c r="F43" s="19">
        <v>11.111111111111111</v>
      </c>
      <c r="G43" s="16" t="s">
        <v>160</v>
      </c>
      <c r="H43" s="13">
        <v>10</v>
      </c>
      <c r="I43" s="13" t="s">
        <v>168</v>
      </c>
      <c r="J43" s="13" t="s">
        <v>114</v>
      </c>
      <c r="K43" s="16" t="s">
        <v>89</v>
      </c>
      <c r="L43" s="16" t="s">
        <v>90</v>
      </c>
      <c r="M43" s="64" t="s">
        <v>1213</v>
      </c>
    </row>
    <row r="44" spans="1:13" x14ac:dyDescent="0.25">
      <c r="A44" s="11" t="s">
        <v>155</v>
      </c>
      <c r="B44" s="11" t="s">
        <v>150</v>
      </c>
      <c r="C44" s="12" t="s">
        <v>169</v>
      </c>
      <c r="D44" s="9" t="s">
        <v>170</v>
      </c>
      <c r="E44" s="9">
        <v>34.5</v>
      </c>
      <c r="F44" s="19">
        <v>2.7777777777777777</v>
      </c>
      <c r="G44" s="16" t="s">
        <v>158</v>
      </c>
      <c r="H44" s="13">
        <v>2.5</v>
      </c>
      <c r="I44" s="13" t="s">
        <v>171</v>
      </c>
      <c r="J44" s="13" t="s">
        <v>114</v>
      </c>
      <c r="K44" s="16" t="s">
        <v>89</v>
      </c>
      <c r="L44" s="16" t="s">
        <v>90</v>
      </c>
      <c r="M44" s="64" t="s">
        <v>1213</v>
      </c>
    </row>
    <row r="45" spans="1:13" x14ac:dyDescent="0.25">
      <c r="A45" s="11" t="s">
        <v>155</v>
      </c>
      <c r="B45" s="11" t="s">
        <v>150</v>
      </c>
      <c r="C45" s="12" t="s">
        <v>169</v>
      </c>
      <c r="D45" s="9" t="s">
        <v>170</v>
      </c>
      <c r="E45" s="9">
        <v>34.5</v>
      </c>
      <c r="F45" s="19">
        <v>2.7777777777777777</v>
      </c>
      <c r="G45" s="16" t="s">
        <v>160</v>
      </c>
      <c r="H45" s="13">
        <v>2.5</v>
      </c>
      <c r="I45" s="13" t="s">
        <v>171</v>
      </c>
      <c r="J45" s="13" t="s">
        <v>114</v>
      </c>
      <c r="K45" s="16" t="s">
        <v>89</v>
      </c>
      <c r="L45" s="16" t="s">
        <v>90</v>
      </c>
      <c r="M45" s="64" t="s">
        <v>1213</v>
      </c>
    </row>
    <row r="46" spans="1:13" x14ac:dyDescent="0.25">
      <c r="A46" s="11" t="s">
        <v>155</v>
      </c>
      <c r="B46" s="11" t="s">
        <v>150</v>
      </c>
      <c r="C46" s="12" t="s">
        <v>169</v>
      </c>
      <c r="D46" s="9" t="s">
        <v>170</v>
      </c>
      <c r="E46" s="9">
        <v>34.5</v>
      </c>
      <c r="F46" s="19">
        <v>2.7777777777777777</v>
      </c>
      <c r="G46" s="16" t="s">
        <v>172</v>
      </c>
      <c r="H46" s="13">
        <v>2.5</v>
      </c>
      <c r="I46" s="13" t="s">
        <v>171</v>
      </c>
      <c r="J46" s="13" t="s">
        <v>114</v>
      </c>
      <c r="K46" s="16" t="s">
        <v>89</v>
      </c>
      <c r="L46" s="16" t="s">
        <v>90</v>
      </c>
      <c r="M46" s="64" t="s">
        <v>1213</v>
      </c>
    </row>
    <row r="47" spans="1:13" x14ac:dyDescent="0.25">
      <c r="A47" s="11" t="s">
        <v>155</v>
      </c>
      <c r="B47" s="11" t="s">
        <v>150</v>
      </c>
      <c r="C47" s="12" t="s">
        <v>169</v>
      </c>
      <c r="D47" s="9" t="s">
        <v>170</v>
      </c>
      <c r="E47" s="9">
        <v>34.5</v>
      </c>
      <c r="F47" s="19">
        <v>2.7777777777777777</v>
      </c>
      <c r="G47" s="16" t="s">
        <v>173</v>
      </c>
      <c r="H47" s="13">
        <v>2.5</v>
      </c>
      <c r="I47" s="13" t="s">
        <v>171</v>
      </c>
      <c r="J47" s="13" t="s">
        <v>114</v>
      </c>
      <c r="K47" s="16" t="s">
        <v>89</v>
      </c>
      <c r="L47" s="16" t="s">
        <v>90</v>
      </c>
      <c r="M47" s="64" t="s">
        <v>1213</v>
      </c>
    </row>
    <row r="48" spans="1:13" x14ac:dyDescent="0.25">
      <c r="A48" s="11" t="s">
        <v>155</v>
      </c>
      <c r="B48" s="11" t="s">
        <v>150</v>
      </c>
      <c r="C48" s="12" t="s">
        <v>174</v>
      </c>
      <c r="D48" s="9" t="s">
        <v>175</v>
      </c>
      <c r="E48" s="9">
        <v>34.5</v>
      </c>
      <c r="F48" s="19">
        <v>22.222222222222221</v>
      </c>
      <c r="G48" s="16" t="s">
        <v>158</v>
      </c>
      <c r="H48" s="13">
        <v>20</v>
      </c>
      <c r="I48" s="13" t="s">
        <v>176</v>
      </c>
      <c r="J48" s="13" t="s">
        <v>114</v>
      </c>
      <c r="K48" s="16" t="s">
        <v>89</v>
      </c>
      <c r="L48" s="16" t="s">
        <v>90</v>
      </c>
      <c r="M48" s="64" t="s">
        <v>1213</v>
      </c>
    </row>
    <row r="49" spans="1:13" x14ac:dyDescent="0.25">
      <c r="A49" s="11" t="s">
        <v>155</v>
      </c>
      <c r="B49" s="11" t="s">
        <v>150</v>
      </c>
      <c r="C49" s="12" t="s">
        <v>174</v>
      </c>
      <c r="D49" s="9" t="s">
        <v>175</v>
      </c>
      <c r="E49" s="9">
        <v>34.5</v>
      </c>
      <c r="F49" s="19">
        <v>22.222222222222221</v>
      </c>
      <c r="G49" s="16" t="s">
        <v>160</v>
      </c>
      <c r="H49" s="13">
        <v>20</v>
      </c>
      <c r="I49" s="13" t="s">
        <v>177</v>
      </c>
      <c r="J49" s="13" t="s">
        <v>114</v>
      </c>
      <c r="K49" s="16" t="s">
        <v>89</v>
      </c>
      <c r="L49" s="16" t="s">
        <v>90</v>
      </c>
      <c r="M49" s="64" t="s">
        <v>1213</v>
      </c>
    </row>
    <row r="50" spans="1:13" x14ac:dyDescent="0.25">
      <c r="A50" s="11" t="s">
        <v>155</v>
      </c>
      <c r="B50" s="11" t="s">
        <v>150</v>
      </c>
      <c r="C50" s="12" t="s">
        <v>178</v>
      </c>
      <c r="D50" s="9" t="s">
        <v>179</v>
      </c>
      <c r="E50" s="9">
        <v>34.5</v>
      </c>
      <c r="F50" s="19">
        <v>8.3333333333333339</v>
      </c>
      <c r="G50" s="16" t="s">
        <v>160</v>
      </c>
      <c r="H50" s="13">
        <v>7.5</v>
      </c>
      <c r="I50" s="13" t="s">
        <v>180</v>
      </c>
      <c r="J50" s="13" t="s">
        <v>114</v>
      </c>
      <c r="K50" s="16" t="s">
        <v>109</v>
      </c>
      <c r="L50" s="16" t="s">
        <v>90</v>
      </c>
      <c r="M50" s="64" t="s">
        <v>1213</v>
      </c>
    </row>
    <row r="51" spans="1:13" x14ac:dyDescent="0.25">
      <c r="A51" s="11" t="s">
        <v>155</v>
      </c>
      <c r="B51" s="11" t="s">
        <v>150</v>
      </c>
      <c r="C51" s="12" t="s">
        <v>178</v>
      </c>
      <c r="D51" s="9" t="s">
        <v>179</v>
      </c>
      <c r="E51" s="9">
        <v>34.5</v>
      </c>
      <c r="F51" s="19">
        <v>16.666666666666668</v>
      </c>
      <c r="G51" s="16" t="s">
        <v>158</v>
      </c>
      <c r="H51" s="13">
        <v>15</v>
      </c>
      <c r="I51" s="13" t="s">
        <v>181</v>
      </c>
      <c r="J51" s="13" t="s">
        <v>114</v>
      </c>
      <c r="K51" s="16" t="s">
        <v>89</v>
      </c>
      <c r="L51" s="16" t="s">
        <v>93</v>
      </c>
      <c r="M51" s="64" t="s">
        <v>1213</v>
      </c>
    </row>
    <row r="52" spans="1:13" x14ac:dyDescent="0.25">
      <c r="A52" s="11" t="s">
        <v>155</v>
      </c>
      <c r="B52" s="11" t="s">
        <v>150</v>
      </c>
      <c r="C52" s="12" t="s">
        <v>182</v>
      </c>
      <c r="D52" s="9" t="s">
        <v>183</v>
      </c>
      <c r="E52" s="9">
        <v>34.5</v>
      </c>
      <c r="F52" s="19">
        <v>27.777777777777779</v>
      </c>
      <c r="G52" s="16" t="s">
        <v>158</v>
      </c>
      <c r="H52" s="13">
        <v>25</v>
      </c>
      <c r="I52" s="13" t="s">
        <v>184</v>
      </c>
      <c r="J52" s="13" t="s">
        <v>114</v>
      </c>
      <c r="K52" s="16" t="s">
        <v>89</v>
      </c>
      <c r="L52" s="16" t="s">
        <v>90</v>
      </c>
      <c r="M52" s="64" t="s">
        <v>1213</v>
      </c>
    </row>
    <row r="53" spans="1:13" x14ac:dyDescent="0.25">
      <c r="A53" s="11" t="s">
        <v>155</v>
      </c>
      <c r="B53" s="11" t="s">
        <v>150</v>
      </c>
      <c r="C53" s="12" t="s">
        <v>185</v>
      </c>
      <c r="D53" s="9" t="s">
        <v>186</v>
      </c>
      <c r="E53" s="9">
        <v>34.5</v>
      </c>
      <c r="F53" s="19">
        <v>26.666666666666664</v>
      </c>
      <c r="G53" s="16" t="s">
        <v>158</v>
      </c>
      <c r="H53" s="13">
        <v>24</v>
      </c>
      <c r="I53" s="13" t="s">
        <v>187</v>
      </c>
      <c r="J53" s="13" t="s">
        <v>114</v>
      </c>
      <c r="K53" s="16" t="s">
        <v>89</v>
      </c>
      <c r="L53" s="16" t="s">
        <v>90</v>
      </c>
      <c r="M53" s="64" t="s">
        <v>1213</v>
      </c>
    </row>
    <row r="54" spans="1:13" x14ac:dyDescent="0.25">
      <c r="A54" s="11" t="s">
        <v>155</v>
      </c>
      <c r="B54" s="11" t="s">
        <v>150</v>
      </c>
      <c r="C54" s="12" t="s">
        <v>185</v>
      </c>
      <c r="D54" s="9" t="s">
        <v>186</v>
      </c>
      <c r="E54" s="9">
        <v>34.5</v>
      </c>
      <c r="F54" s="19">
        <v>26.666666666666664</v>
      </c>
      <c r="G54" s="16" t="s">
        <v>160</v>
      </c>
      <c r="H54" s="13">
        <v>24</v>
      </c>
      <c r="I54" s="13" t="s">
        <v>188</v>
      </c>
      <c r="J54" s="13" t="s">
        <v>114</v>
      </c>
      <c r="K54" s="16" t="s">
        <v>89</v>
      </c>
      <c r="L54" s="16" t="s">
        <v>90</v>
      </c>
      <c r="M54" s="64" t="s">
        <v>1213</v>
      </c>
    </row>
    <row r="55" spans="1:13" x14ac:dyDescent="0.25">
      <c r="A55" s="11" t="s">
        <v>189</v>
      </c>
      <c r="B55" s="11" t="s">
        <v>138</v>
      </c>
      <c r="C55" s="12" t="s">
        <v>190</v>
      </c>
      <c r="D55" s="9" t="s">
        <v>191</v>
      </c>
      <c r="E55" s="9">
        <v>34.5</v>
      </c>
      <c r="F55" s="19">
        <v>5</v>
      </c>
      <c r="G55" s="16" t="s">
        <v>192</v>
      </c>
      <c r="H55" s="13">
        <v>5</v>
      </c>
      <c r="I55" s="13" t="s">
        <v>193</v>
      </c>
      <c r="J55" s="13" t="s">
        <v>114</v>
      </c>
      <c r="K55" s="16" t="s">
        <v>89</v>
      </c>
      <c r="L55" s="16" t="s">
        <v>90</v>
      </c>
      <c r="M55" s="64" t="s">
        <v>1213</v>
      </c>
    </row>
    <row r="56" spans="1:13" x14ac:dyDescent="0.25">
      <c r="A56" s="11" t="s">
        <v>189</v>
      </c>
      <c r="B56" s="11" t="s">
        <v>138</v>
      </c>
      <c r="C56" s="12" t="s">
        <v>194</v>
      </c>
      <c r="D56" s="9" t="s">
        <v>195</v>
      </c>
      <c r="E56" s="9">
        <v>34.5</v>
      </c>
      <c r="F56" s="19">
        <v>25</v>
      </c>
      <c r="G56" s="16" t="s">
        <v>192</v>
      </c>
      <c r="H56" s="13">
        <v>25</v>
      </c>
      <c r="I56" s="13" t="s">
        <v>196</v>
      </c>
      <c r="J56" s="13" t="s">
        <v>88</v>
      </c>
      <c r="K56" s="16" t="s">
        <v>89</v>
      </c>
      <c r="L56" s="16" t="s">
        <v>90</v>
      </c>
      <c r="M56" s="64" t="s">
        <v>1213</v>
      </c>
    </row>
    <row r="57" spans="1:13" x14ac:dyDescent="0.25">
      <c r="A57" s="11" t="s">
        <v>189</v>
      </c>
      <c r="B57" s="11" t="s">
        <v>138</v>
      </c>
      <c r="C57" s="12" t="s">
        <v>33</v>
      </c>
      <c r="D57" s="9" t="s">
        <v>197</v>
      </c>
      <c r="E57" s="9">
        <v>13.8</v>
      </c>
      <c r="F57" s="19" t="s">
        <v>198</v>
      </c>
      <c r="G57" s="16"/>
      <c r="H57" s="13"/>
      <c r="I57" s="13" t="s">
        <v>199</v>
      </c>
      <c r="J57" s="13"/>
      <c r="K57" s="16" t="s">
        <v>109</v>
      </c>
      <c r="L57" s="16"/>
      <c r="M57" s="64" t="s">
        <v>1213</v>
      </c>
    </row>
    <row r="58" spans="1:13" x14ac:dyDescent="0.25">
      <c r="A58" s="11" t="s">
        <v>189</v>
      </c>
      <c r="B58" s="11" t="s">
        <v>138</v>
      </c>
      <c r="C58" s="12" t="s">
        <v>200</v>
      </c>
      <c r="D58" s="9" t="s">
        <v>201</v>
      </c>
      <c r="E58" s="9">
        <v>34.5</v>
      </c>
      <c r="F58" s="19">
        <v>15</v>
      </c>
      <c r="G58" s="16" t="s">
        <v>192</v>
      </c>
      <c r="H58" s="13">
        <v>15</v>
      </c>
      <c r="I58" s="13" t="s">
        <v>202</v>
      </c>
      <c r="J58" s="13" t="s">
        <v>88</v>
      </c>
      <c r="K58" s="16" t="s">
        <v>89</v>
      </c>
      <c r="L58" s="16" t="s">
        <v>90</v>
      </c>
      <c r="M58" s="64" t="s">
        <v>1213</v>
      </c>
    </row>
    <row r="59" spans="1:13" x14ac:dyDescent="0.25">
      <c r="A59" s="11" t="s">
        <v>189</v>
      </c>
      <c r="B59" s="11" t="s">
        <v>138</v>
      </c>
      <c r="C59" s="12" t="s">
        <v>203</v>
      </c>
      <c r="D59" s="9" t="s">
        <v>204</v>
      </c>
      <c r="E59" s="9">
        <v>34.5</v>
      </c>
      <c r="F59" s="19">
        <v>20</v>
      </c>
      <c r="G59" s="16" t="s">
        <v>192</v>
      </c>
      <c r="H59" s="13">
        <v>20</v>
      </c>
      <c r="I59" s="13" t="s">
        <v>205</v>
      </c>
      <c r="J59" s="13" t="s">
        <v>114</v>
      </c>
      <c r="K59" s="16" t="s">
        <v>89</v>
      </c>
      <c r="L59" s="16" t="s">
        <v>90</v>
      </c>
      <c r="M59" s="64" t="s">
        <v>1213</v>
      </c>
    </row>
    <row r="60" spans="1:13" x14ac:dyDescent="0.25">
      <c r="A60" s="11" t="s">
        <v>189</v>
      </c>
      <c r="B60" s="11" t="s">
        <v>138</v>
      </c>
      <c r="C60" s="12" t="s">
        <v>203</v>
      </c>
      <c r="D60" s="9" t="s">
        <v>204</v>
      </c>
      <c r="E60" s="9">
        <v>34.5</v>
      </c>
      <c r="F60" s="19">
        <v>20</v>
      </c>
      <c r="G60" s="16" t="s">
        <v>206</v>
      </c>
      <c r="H60" s="13">
        <v>20</v>
      </c>
      <c r="I60" s="13" t="s">
        <v>207</v>
      </c>
      <c r="J60" s="13" t="s">
        <v>114</v>
      </c>
      <c r="K60" s="16" t="s">
        <v>89</v>
      </c>
      <c r="L60" s="16" t="s">
        <v>90</v>
      </c>
      <c r="M60" s="64" t="s">
        <v>1213</v>
      </c>
    </row>
    <row r="61" spans="1:13" x14ac:dyDescent="0.25">
      <c r="A61" s="11" t="s">
        <v>189</v>
      </c>
      <c r="B61" s="11" t="s">
        <v>138</v>
      </c>
      <c r="C61" s="12" t="s">
        <v>203</v>
      </c>
      <c r="D61" s="9" t="s">
        <v>204</v>
      </c>
      <c r="E61" s="9">
        <v>34.5</v>
      </c>
      <c r="F61" s="19">
        <v>20</v>
      </c>
      <c r="G61" s="16" t="s">
        <v>208</v>
      </c>
      <c r="H61" s="13">
        <v>20</v>
      </c>
      <c r="I61" s="13" t="s">
        <v>209</v>
      </c>
      <c r="J61" s="13" t="s">
        <v>114</v>
      </c>
      <c r="K61" s="16" t="s">
        <v>89</v>
      </c>
      <c r="L61" s="16" t="s">
        <v>90</v>
      </c>
      <c r="M61" s="64" t="s">
        <v>1213</v>
      </c>
    </row>
    <row r="62" spans="1:13" x14ac:dyDescent="0.25">
      <c r="A62" s="11" t="s">
        <v>189</v>
      </c>
      <c r="B62" s="11" t="s">
        <v>138</v>
      </c>
      <c r="C62" s="12" t="s">
        <v>210</v>
      </c>
      <c r="D62" s="9" t="s">
        <v>211</v>
      </c>
      <c r="E62" s="9">
        <v>34.5</v>
      </c>
      <c r="F62" s="19">
        <v>5</v>
      </c>
      <c r="G62" s="16" t="s">
        <v>192</v>
      </c>
      <c r="H62" s="13">
        <v>5</v>
      </c>
      <c r="I62" s="13" t="s">
        <v>212</v>
      </c>
      <c r="J62" s="13" t="s">
        <v>114</v>
      </c>
      <c r="K62" s="16" t="s">
        <v>89</v>
      </c>
      <c r="L62" s="16" t="s">
        <v>90</v>
      </c>
      <c r="M62" s="64" t="s">
        <v>1213</v>
      </c>
    </row>
    <row r="63" spans="1:13" x14ac:dyDescent="0.25">
      <c r="A63" s="11" t="s">
        <v>189</v>
      </c>
      <c r="B63" s="11" t="s">
        <v>138</v>
      </c>
      <c r="C63" s="12" t="s">
        <v>210</v>
      </c>
      <c r="D63" s="9" t="s">
        <v>211</v>
      </c>
      <c r="E63" s="9">
        <v>34.5</v>
      </c>
      <c r="F63" s="19">
        <v>5</v>
      </c>
      <c r="G63" s="16" t="s">
        <v>206</v>
      </c>
      <c r="H63" s="13">
        <v>5</v>
      </c>
      <c r="I63" s="13" t="s">
        <v>213</v>
      </c>
      <c r="J63" s="13" t="s">
        <v>114</v>
      </c>
      <c r="K63" s="16" t="s">
        <v>89</v>
      </c>
      <c r="L63" s="16" t="s">
        <v>90</v>
      </c>
      <c r="M63" s="64" t="s">
        <v>1213</v>
      </c>
    </row>
    <row r="64" spans="1:13" x14ac:dyDescent="0.25">
      <c r="A64" s="11" t="s">
        <v>189</v>
      </c>
      <c r="B64" s="11" t="s">
        <v>138</v>
      </c>
      <c r="C64" s="12" t="s">
        <v>214</v>
      </c>
      <c r="D64" s="9" t="s">
        <v>215</v>
      </c>
      <c r="E64" s="9">
        <v>34.5</v>
      </c>
      <c r="F64" s="19">
        <v>5</v>
      </c>
      <c r="G64" s="16" t="s">
        <v>192</v>
      </c>
      <c r="H64" s="13">
        <v>5</v>
      </c>
      <c r="I64" s="13" t="s">
        <v>216</v>
      </c>
      <c r="J64" s="13" t="s">
        <v>114</v>
      </c>
      <c r="K64" s="16" t="s">
        <v>89</v>
      </c>
      <c r="L64" s="16" t="s">
        <v>90</v>
      </c>
      <c r="M64" s="64" t="s">
        <v>1213</v>
      </c>
    </row>
    <row r="65" spans="1:13" x14ac:dyDescent="0.25">
      <c r="A65" s="11" t="s">
        <v>189</v>
      </c>
      <c r="B65" s="11" t="s">
        <v>138</v>
      </c>
      <c r="C65" s="12" t="s">
        <v>217</v>
      </c>
      <c r="D65" s="9" t="s">
        <v>218</v>
      </c>
      <c r="E65" s="9">
        <v>13.8</v>
      </c>
      <c r="F65" s="19" t="s">
        <v>219</v>
      </c>
      <c r="G65" s="16" t="s">
        <v>192</v>
      </c>
      <c r="H65" s="13" t="s">
        <v>219</v>
      </c>
      <c r="I65" s="13" t="s">
        <v>220</v>
      </c>
      <c r="J65" s="13" t="s">
        <v>114</v>
      </c>
      <c r="K65" s="16" t="s">
        <v>89</v>
      </c>
      <c r="L65" s="16" t="s">
        <v>90</v>
      </c>
      <c r="M65" s="64" t="s">
        <v>1213</v>
      </c>
    </row>
    <row r="66" spans="1:13" x14ac:dyDescent="0.25">
      <c r="A66" s="11" t="s">
        <v>189</v>
      </c>
      <c r="B66" s="11" t="s">
        <v>138</v>
      </c>
      <c r="C66" s="12" t="s">
        <v>217</v>
      </c>
      <c r="D66" s="9" t="s">
        <v>218</v>
      </c>
      <c r="E66" s="9">
        <v>13.8</v>
      </c>
      <c r="F66" s="19">
        <v>0.75</v>
      </c>
      <c r="G66" s="16" t="s">
        <v>206</v>
      </c>
      <c r="H66" s="13">
        <v>0.75</v>
      </c>
      <c r="I66" s="13" t="s">
        <v>221</v>
      </c>
      <c r="J66" s="13" t="s">
        <v>114</v>
      </c>
      <c r="K66" s="16" t="s">
        <v>89</v>
      </c>
      <c r="L66" s="16" t="s">
        <v>90</v>
      </c>
      <c r="M66" s="64" t="s">
        <v>1213</v>
      </c>
    </row>
    <row r="67" spans="1:13" x14ac:dyDescent="0.25">
      <c r="A67" s="11" t="s">
        <v>189</v>
      </c>
      <c r="B67" s="11" t="s">
        <v>138</v>
      </c>
      <c r="C67" s="12" t="s">
        <v>217</v>
      </c>
      <c r="D67" s="9" t="s">
        <v>218</v>
      </c>
      <c r="E67" s="9">
        <v>13.8</v>
      </c>
      <c r="F67" s="19" t="s">
        <v>219</v>
      </c>
      <c r="G67" s="16" t="s">
        <v>208</v>
      </c>
      <c r="H67" s="13" t="s">
        <v>219</v>
      </c>
      <c r="I67" s="13" t="s">
        <v>220</v>
      </c>
      <c r="J67" s="13" t="s">
        <v>114</v>
      </c>
      <c r="K67" s="16" t="s">
        <v>89</v>
      </c>
      <c r="L67" s="16" t="s">
        <v>90</v>
      </c>
      <c r="M67" s="64" t="s">
        <v>1213</v>
      </c>
    </row>
    <row r="68" spans="1:13" x14ac:dyDescent="0.25">
      <c r="A68" s="11" t="s">
        <v>189</v>
      </c>
      <c r="B68" s="11" t="s">
        <v>138</v>
      </c>
      <c r="C68" s="12" t="s">
        <v>217</v>
      </c>
      <c r="D68" s="9" t="s">
        <v>218</v>
      </c>
      <c r="E68" s="9">
        <v>13.8</v>
      </c>
      <c r="F68" s="19" t="s">
        <v>219</v>
      </c>
      <c r="G68" s="16" t="s">
        <v>222</v>
      </c>
      <c r="H68" s="13" t="s">
        <v>219</v>
      </c>
      <c r="I68" s="13" t="s">
        <v>220</v>
      </c>
      <c r="J68" s="13" t="s">
        <v>114</v>
      </c>
      <c r="K68" s="16" t="s">
        <v>89</v>
      </c>
      <c r="L68" s="16" t="s">
        <v>90</v>
      </c>
      <c r="M68" s="64" t="s">
        <v>1213</v>
      </c>
    </row>
    <row r="69" spans="1:13" x14ac:dyDescent="0.25">
      <c r="A69" s="11" t="s">
        <v>189</v>
      </c>
      <c r="B69" s="11" t="s">
        <v>138</v>
      </c>
      <c r="C69" s="12" t="s">
        <v>223</v>
      </c>
      <c r="D69" s="9" t="s">
        <v>224</v>
      </c>
      <c r="E69" s="9">
        <v>34.5</v>
      </c>
      <c r="F69" s="19">
        <v>10</v>
      </c>
      <c r="G69" s="16" t="s">
        <v>192</v>
      </c>
      <c r="H69" s="13">
        <v>10</v>
      </c>
      <c r="I69" s="13" t="s">
        <v>225</v>
      </c>
      <c r="J69" s="13" t="s">
        <v>114</v>
      </c>
      <c r="K69" s="16" t="s">
        <v>89</v>
      </c>
      <c r="L69" s="16" t="s">
        <v>90</v>
      </c>
      <c r="M69" s="64" t="s">
        <v>1213</v>
      </c>
    </row>
    <row r="70" spans="1:13" x14ac:dyDescent="0.25">
      <c r="A70" s="11" t="s">
        <v>189</v>
      </c>
      <c r="B70" s="11" t="s">
        <v>138</v>
      </c>
      <c r="C70" s="12" t="s">
        <v>226</v>
      </c>
      <c r="D70" s="9" t="s">
        <v>227</v>
      </c>
      <c r="E70" s="9">
        <v>34.5</v>
      </c>
      <c r="F70" s="19">
        <v>5</v>
      </c>
      <c r="G70" s="16" t="s">
        <v>192</v>
      </c>
      <c r="H70" s="13">
        <v>5</v>
      </c>
      <c r="I70" s="13" t="s">
        <v>228</v>
      </c>
      <c r="J70" s="13" t="s">
        <v>114</v>
      </c>
      <c r="K70" s="16" t="s">
        <v>89</v>
      </c>
      <c r="L70" s="16" t="s">
        <v>90</v>
      </c>
      <c r="M70" s="64" t="s">
        <v>1213</v>
      </c>
    </row>
    <row r="71" spans="1:13" x14ac:dyDescent="0.25">
      <c r="A71" s="11" t="s">
        <v>189</v>
      </c>
      <c r="B71" s="11" t="s">
        <v>138</v>
      </c>
      <c r="C71" s="12" t="s">
        <v>229</v>
      </c>
      <c r="D71" s="9" t="s">
        <v>230</v>
      </c>
      <c r="E71" s="9">
        <v>34.5</v>
      </c>
      <c r="F71" s="19">
        <v>10</v>
      </c>
      <c r="G71" s="16" t="s">
        <v>192</v>
      </c>
      <c r="H71" s="13">
        <v>10</v>
      </c>
      <c r="I71" s="13" t="s">
        <v>231</v>
      </c>
      <c r="J71" s="13" t="s">
        <v>114</v>
      </c>
      <c r="K71" s="16" t="s">
        <v>89</v>
      </c>
      <c r="L71" s="16" t="s">
        <v>90</v>
      </c>
      <c r="M71" s="64" t="s">
        <v>1213</v>
      </c>
    </row>
    <row r="72" spans="1:13" x14ac:dyDescent="0.25">
      <c r="A72" s="11" t="s">
        <v>189</v>
      </c>
      <c r="B72" s="11" t="s">
        <v>138</v>
      </c>
      <c r="C72" s="12" t="s">
        <v>232</v>
      </c>
      <c r="D72" s="9" t="s">
        <v>233</v>
      </c>
      <c r="E72" s="9">
        <v>34.5</v>
      </c>
      <c r="F72" s="19">
        <v>10</v>
      </c>
      <c r="G72" s="16" t="s">
        <v>192</v>
      </c>
      <c r="H72" s="13">
        <v>10</v>
      </c>
      <c r="I72" s="13" t="s">
        <v>234</v>
      </c>
      <c r="J72" s="13" t="s">
        <v>114</v>
      </c>
      <c r="K72" s="16" t="s">
        <v>89</v>
      </c>
      <c r="L72" s="16" t="s">
        <v>90</v>
      </c>
      <c r="M72" s="64" t="s">
        <v>1213</v>
      </c>
    </row>
    <row r="73" spans="1:13" x14ac:dyDescent="0.25">
      <c r="A73" s="11" t="s">
        <v>189</v>
      </c>
      <c r="B73" s="11" t="s">
        <v>138</v>
      </c>
      <c r="C73" s="12" t="s">
        <v>235</v>
      </c>
      <c r="D73" s="9" t="s">
        <v>236</v>
      </c>
      <c r="E73" s="9">
        <v>34.5</v>
      </c>
      <c r="F73" s="19">
        <v>5</v>
      </c>
      <c r="G73" s="16" t="s">
        <v>192</v>
      </c>
      <c r="H73" s="13">
        <v>5</v>
      </c>
      <c r="I73" s="13" t="s">
        <v>237</v>
      </c>
      <c r="J73" s="13" t="s">
        <v>88</v>
      </c>
      <c r="K73" s="16" t="s">
        <v>89</v>
      </c>
      <c r="L73" s="16" t="s">
        <v>90</v>
      </c>
      <c r="M73" s="64" t="s">
        <v>1213</v>
      </c>
    </row>
    <row r="74" spans="1:13" x14ac:dyDescent="0.25">
      <c r="A74" s="11" t="s">
        <v>189</v>
      </c>
      <c r="B74" s="11" t="s">
        <v>138</v>
      </c>
      <c r="C74" s="12" t="s">
        <v>238</v>
      </c>
      <c r="D74" s="9" t="s">
        <v>239</v>
      </c>
      <c r="E74" s="9">
        <v>34.5</v>
      </c>
      <c r="F74" s="19">
        <v>15</v>
      </c>
      <c r="G74" s="16" t="s">
        <v>192</v>
      </c>
      <c r="H74" s="13">
        <v>15</v>
      </c>
      <c r="I74" s="13" t="s">
        <v>240</v>
      </c>
      <c r="J74" s="13" t="s">
        <v>88</v>
      </c>
      <c r="K74" s="16" t="s">
        <v>89</v>
      </c>
      <c r="L74" s="16" t="s">
        <v>90</v>
      </c>
      <c r="M74" s="64" t="s">
        <v>1213</v>
      </c>
    </row>
    <row r="75" spans="1:13" x14ac:dyDescent="0.25">
      <c r="A75" s="11" t="s">
        <v>189</v>
      </c>
      <c r="B75" s="11" t="s">
        <v>138</v>
      </c>
      <c r="C75" s="12" t="s">
        <v>238</v>
      </c>
      <c r="D75" s="9" t="s">
        <v>239</v>
      </c>
      <c r="E75" s="9">
        <v>34.5</v>
      </c>
      <c r="F75" s="19">
        <v>10</v>
      </c>
      <c r="G75" s="16" t="s">
        <v>206</v>
      </c>
      <c r="H75" s="13">
        <v>10</v>
      </c>
      <c r="I75" s="13" t="s">
        <v>241</v>
      </c>
      <c r="J75" s="13" t="s">
        <v>88</v>
      </c>
      <c r="K75" s="16" t="s">
        <v>89</v>
      </c>
      <c r="L75" s="16" t="s">
        <v>90</v>
      </c>
      <c r="M75" s="64" t="s">
        <v>1213</v>
      </c>
    </row>
    <row r="76" spans="1:13" x14ac:dyDescent="0.25">
      <c r="A76" s="11" t="s">
        <v>189</v>
      </c>
      <c r="B76" s="11" t="s">
        <v>138</v>
      </c>
      <c r="C76" s="12" t="s">
        <v>242</v>
      </c>
      <c r="D76" s="9" t="s">
        <v>243</v>
      </c>
      <c r="E76" s="9">
        <v>34.5</v>
      </c>
      <c r="F76" s="19">
        <v>1</v>
      </c>
      <c r="G76" s="16" t="s">
        <v>192</v>
      </c>
      <c r="H76" s="13">
        <v>1</v>
      </c>
      <c r="I76" s="13" t="s">
        <v>244</v>
      </c>
      <c r="J76" s="13" t="s">
        <v>88</v>
      </c>
      <c r="K76" s="16" t="s">
        <v>89</v>
      </c>
      <c r="L76" s="16" t="s">
        <v>90</v>
      </c>
      <c r="M76" s="64" t="s">
        <v>1213</v>
      </c>
    </row>
    <row r="77" spans="1:13" x14ac:dyDescent="0.25">
      <c r="A77" s="11" t="s">
        <v>189</v>
      </c>
      <c r="B77" s="11" t="s">
        <v>138</v>
      </c>
      <c r="C77" s="12" t="s">
        <v>245</v>
      </c>
      <c r="D77" s="9" t="s">
        <v>246</v>
      </c>
      <c r="E77" s="9">
        <v>34.5</v>
      </c>
      <c r="F77" s="19">
        <v>15</v>
      </c>
      <c r="G77" s="16" t="s">
        <v>192</v>
      </c>
      <c r="H77" s="13">
        <v>15</v>
      </c>
      <c r="I77" s="13" t="s">
        <v>247</v>
      </c>
      <c r="J77" s="13" t="s">
        <v>114</v>
      </c>
      <c r="K77" s="16" t="s">
        <v>89</v>
      </c>
      <c r="L77" s="16" t="s">
        <v>90</v>
      </c>
      <c r="M77" s="64" t="s">
        <v>1213</v>
      </c>
    </row>
    <row r="78" spans="1:13" x14ac:dyDescent="0.25">
      <c r="A78" s="11" t="s">
        <v>189</v>
      </c>
      <c r="B78" s="11" t="s">
        <v>138</v>
      </c>
      <c r="C78" s="12" t="s">
        <v>248</v>
      </c>
      <c r="D78" s="9" t="s">
        <v>249</v>
      </c>
      <c r="E78" s="9">
        <v>34.5</v>
      </c>
      <c r="F78" s="19">
        <v>1</v>
      </c>
      <c r="G78" s="16" t="s">
        <v>192</v>
      </c>
      <c r="H78" s="13">
        <v>1</v>
      </c>
      <c r="I78" s="13" t="s">
        <v>250</v>
      </c>
      <c r="J78" s="13" t="s">
        <v>88</v>
      </c>
      <c r="K78" s="16" t="s">
        <v>89</v>
      </c>
      <c r="L78" s="16" t="s">
        <v>90</v>
      </c>
      <c r="M78" s="64" t="s">
        <v>1213</v>
      </c>
    </row>
    <row r="79" spans="1:13" x14ac:dyDescent="0.25">
      <c r="A79" s="11" t="s">
        <v>189</v>
      </c>
      <c r="B79" s="11" t="s">
        <v>138</v>
      </c>
      <c r="C79" s="12" t="s">
        <v>251</v>
      </c>
      <c r="D79" s="9" t="s">
        <v>252</v>
      </c>
      <c r="E79" s="9">
        <v>34.5</v>
      </c>
      <c r="F79" s="19">
        <v>7.5</v>
      </c>
      <c r="G79" s="16" t="s">
        <v>192</v>
      </c>
      <c r="H79" s="13">
        <v>7.5</v>
      </c>
      <c r="I79" s="13" t="s">
        <v>253</v>
      </c>
      <c r="J79" s="13" t="s">
        <v>114</v>
      </c>
      <c r="K79" s="16" t="s">
        <v>89</v>
      </c>
      <c r="L79" s="16" t="s">
        <v>90</v>
      </c>
      <c r="M79" s="64" t="s">
        <v>1213</v>
      </c>
    </row>
    <row r="80" spans="1:13" x14ac:dyDescent="0.25">
      <c r="A80" s="11" t="s">
        <v>189</v>
      </c>
      <c r="B80" s="11" t="s">
        <v>138</v>
      </c>
      <c r="C80" s="12" t="s">
        <v>251</v>
      </c>
      <c r="D80" s="9" t="s">
        <v>252</v>
      </c>
      <c r="E80" s="9">
        <v>34.5</v>
      </c>
      <c r="F80" s="19">
        <v>10</v>
      </c>
      <c r="G80" s="16" t="s">
        <v>206</v>
      </c>
      <c r="H80" s="13">
        <v>10</v>
      </c>
      <c r="I80" s="13" t="s">
        <v>254</v>
      </c>
      <c r="J80" s="13" t="s">
        <v>114</v>
      </c>
      <c r="K80" s="16" t="s">
        <v>89</v>
      </c>
      <c r="L80" s="16" t="s">
        <v>90</v>
      </c>
      <c r="M80" s="64" t="s">
        <v>1213</v>
      </c>
    </row>
    <row r="81" spans="1:13" x14ac:dyDescent="0.25">
      <c r="A81" s="11" t="s">
        <v>189</v>
      </c>
      <c r="B81" s="11" t="s">
        <v>138</v>
      </c>
      <c r="C81" s="12" t="s">
        <v>34</v>
      </c>
      <c r="D81" s="9" t="s">
        <v>255</v>
      </c>
      <c r="E81" s="9">
        <v>13.8</v>
      </c>
      <c r="F81" s="19" t="s">
        <v>198</v>
      </c>
      <c r="G81" s="16"/>
      <c r="H81" s="13"/>
      <c r="I81" s="13" t="s">
        <v>256</v>
      </c>
      <c r="J81" s="13"/>
      <c r="K81" s="16" t="s">
        <v>109</v>
      </c>
      <c r="L81" s="16" t="s">
        <v>90</v>
      </c>
      <c r="M81" s="64" t="s">
        <v>1213</v>
      </c>
    </row>
    <row r="82" spans="1:13" x14ac:dyDescent="0.25">
      <c r="A82" s="11" t="s">
        <v>189</v>
      </c>
      <c r="B82" s="11" t="s">
        <v>138</v>
      </c>
      <c r="C82" s="12" t="s">
        <v>35</v>
      </c>
      <c r="D82" s="9" t="s">
        <v>257</v>
      </c>
      <c r="E82" s="9">
        <v>34.5</v>
      </c>
      <c r="F82" s="19" t="s">
        <v>198</v>
      </c>
      <c r="G82" s="16"/>
      <c r="H82" s="13"/>
      <c r="I82" s="13" t="s">
        <v>256</v>
      </c>
      <c r="J82" s="13"/>
      <c r="K82" s="16" t="s">
        <v>109</v>
      </c>
      <c r="L82" s="16" t="s">
        <v>90</v>
      </c>
      <c r="M82" s="64" t="s">
        <v>1213</v>
      </c>
    </row>
    <row r="83" spans="1:13" x14ac:dyDescent="0.25">
      <c r="A83" s="11" t="s">
        <v>189</v>
      </c>
      <c r="B83" s="11" t="s">
        <v>138</v>
      </c>
      <c r="C83" s="12" t="s">
        <v>258</v>
      </c>
      <c r="D83" s="9" t="s">
        <v>259</v>
      </c>
      <c r="E83" s="9">
        <v>34.5</v>
      </c>
      <c r="F83" s="19">
        <v>5</v>
      </c>
      <c r="G83" s="16" t="s">
        <v>192</v>
      </c>
      <c r="H83" s="13">
        <v>5</v>
      </c>
      <c r="I83" s="13" t="s">
        <v>260</v>
      </c>
      <c r="J83" s="13" t="s">
        <v>114</v>
      </c>
      <c r="K83" s="16" t="s">
        <v>89</v>
      </c>
      <c r="L83" s="16" t="s">
        <v>90</v>
      </c>
      <c r="M83" s="64" t="s">
        <v>1213</v>
      </c>
    </row>
    <row r="84" spans="1:13" x14ac:dyDescent="0.25">
      <c r="A84" s="11" t="s">
        <v>189</v>
      </c>
      <c r="B84" s="11" t="s">
        <v>138</v>
      </c>
      <c r="C84" s="12" t="s">
        <v>261</v>
      </c>
      <c r="D84" s="9" t="s">
        <v>262</v>
      </c>
      <c r="E84" s="9">
        <v>34.5</v>
      </c>
      <c r="F84" s="19">
        <v>3</v>
      </c>
      <c r="G84" s="16" t="s">
        <v>192</v>
      </c>
      <c r="H84" s="13">
        <v>3</v>
      </c>
      <c r="I84" s="13" t="s">
        <v>263</v>
      </c>
      <c r="J84" s="13" t="s">
        <v>114</v>
      </c>
      <c r="K84" s="16" t="s">
        <v>89</v>
      </c>
      <c r="L84" s="16" t="s">
        <v>90</v>
      </c>
      <c r="M84" s="64" t="s">
        <v>1213</v>
      </c>
    </row>
    <row r="85" spans="1:13" x14ac:dyDescent="0.25">
      <c r="A85" s="11" t="s">
        <v>189</v>
      </c>
      <c r="B85" s="11" t="s">
        <v>138</v>
      </c>
      <c r="C85" s="12" t="s">
        <v>264</v>
      </c>
      <c r="D85" s="9" t="s">
        <v>265</v>
      </c>
      <c r="E85" s="9">
        <v>34.5</v>
      </c>
      <c r="F85" s="19">
        <v>5</v>
      </c>
      <c r="G85" s="16" t="s">
        <v>192</v>
      </c>
      <c r="H85" s="13">
        <v>5</v>
      </c>
      <c r="I85" s="13" t="s">
        <v>266</v>
      </c>
      <c r="J85" s="13" t="s">
        <v>114</v>
      </c>
      <c r="K85" s="16" t="s">
        <v>89</v>
      </c>
      <c r="L85" s="16" t="s">
        <v>90</v>
      </c>
      <c r="M85" s="64" t="s">
        <v>1213</v>
      </c>
    </row>
    <row r="86" spans="1:13" x14ac:dyDescent="0.25">
      <c r="A86" s="11" t="s">
        <v>189</v>
      </c>
      <c r="B86" s="11" t="s">
        <v>138</v>
      </c>
      <c r="C86" s="12" t="s">
        <v>264</v>
      </c>
      <c r="D86" s="9" t="s">
        <v>265</v>
      </c>
      <c r="E86" s="9">
        <v>34.5</v>
      </c>
      <c r="F86" s="19">
        <v>5</v>
      </c>
      <c r="G86" s="16" t="s">
        <v>206</v>
      </c>
      <c r="H86" s="13">
        <v>5</v>
      </c>
      <c r="I86" s="13" t="s">
        <v>266</v>
      </c>
      <c r="J86" s="13" t="s">
        <v>114</v>
      </c>
      <c r="K86" s="16" t="s">
        <v>89</v>
      </c>
      <c r="L86" s="16" t="s">
        <v>90</v>
      </c>
      <c r="M86" s="64" t="s">
        <v>1213</v>
      </c>
    </row>
    <row r="87" spans="1:13" x14ac:dyDescent="0.25">
      <c r="A87" s="11" t="s">
        <v>189</v>
      </c>
      <c r="B87" s="11" t="s">
        <v>138</v>
      </c>
      <c r="C87" s="12" t="s">
        <v>267</v>
      </c>
      <c r="D87" s="9" t="s">
        <v>268</v>
      </c>
      <c r="E87" s="9">
        <v>34.5</v>
      </c>
      <c r="F87" s="19">
        <v>20</v>
      </c>
      <c r="G87" s="16" t="s">
        <v>192</v>
      </c>
      <c r="H87" s="13">
        <v>20</v>
      </c>
      <c r="I87" s="13" t="s">
        <v>269</v>
      </c>
      <c r="J87" s="13" t="s">
        <v>114</v>
      </c>
      <c r="K87" s="16" t="s">
        <v>89</v>
      </c>
      <c r="L87" s="16" t="s">
        <v>90</v>
      </c>
      <c r="M87" s="64" t="s">
        <v>1213</v>
      </c>
    </row>
    <row r="88" spans="1:13" x14ac:dyDescent="0.25">
      <c r="A88" s="11" t="s">
        <v>189</v>
      </c>
      <c r="B88" s="11" t="s">
        <v>138</v>
      </c>
      <c r="C88" s="12" t="s">
        <v>267</v>
      </c>
      <c r="D88" s="9" t="s">
        <v>268</v>
      </c>
      <c r="E88" s="9">
        <v>34.5</v>
      </c>
      <c r="F88" s="19">
        <v>20</v>
      </c>
      <c r="G88" s="16" t="s">
        <v>206</v>
      </c>
      <c r="H88" s="13">
        <v>20</v>
      </c>
      <c r="I88" s="13" t="s">
        <v>270</v>
      </c>
      <c r="J88" s="13" t="s">
        <v>114</v>
      </c>
      <c r="K88" s="16" t="s">
        <v>109</v>
      </c>
      <c r="L88" s="16" t="s">
        <v>90</v>
      </c>
      <c r="M88" s="64" t="s">
        <v>1213</v>
      </c>
    </row>
    <row r="89" spans="1:13" x14ac:dyDescent="0.25">
      <c r="A89" s="11" t="s">
        <v>189</v>
      </c>
      <c r="B89" s="11" t="s">
        <v>138</v>
      </c>
      <c r="C89" s="12" t="s">
        <v>267</v>
      </c>
      <c r="D89" s="9" t="s">
        <v>268</v>
      </c>
      <c r="E89" s="9">
        <v>34.5</v>
      </c>
      <c r="F89" s="19">
        <v>20</v>
      </c>
      <c r="G89" s="16" t="s">
        <v>208</v>
      </c>
      <c r="H89" s="13">
        <v>20</v>
      </c>
      <c r="I89" s="13" t="s">
        <v>270</v>
      </c>
      <c r="J89" s="13" t="s">
        <v>114</v>
      </c>
      <c r="K89" s="16" t="s">
        <v>89</v>
      </c>
      <c r="L89" s="16" t="s">
        <v>90</v>
      </c>
      <c r="M89" s="64" t="s">
        <v>1213</v>
      </c>
    </row>
    <row r="90" spans="1:13" x14ac:dyDescent="0.25">
      <c r="A90" s="11" t="s">
        <v>189</v>
      </c>
      <c r="B90" s="11" t="s">
        <v>138</v>
      </c>
      <c r="C90" s="12" t="s">
        <v>36</v>
      </c>
      <c r="D90" s="9" t="s">
        <v>271</v>
      </c>
      <c r="E90" s="9">
        <v>34.5</v>
      </c>
      <c r="F90" s="19">
        <v>20</v>
      </c>
      <c r="G90" s="16" t="s">
        <v>192</v>
      </c>
      <c r="H90" s="13">
        <v>20</v>
      </c>
      <c r="I90" s="13" t="s">
        <v>272</v>
      </c>
      <c r="J90" s="13" t="s">
        <v>114</v>
      </c>
      <c r="K90" s="16" t="s">
        <v>89</v>
      </c>
      <c r="L90" s="16" t="s">
        <v>90</v>
      </c>
      <c r="M90" s="64" t="s">
        <v>1213</v>
      </c>
    </row>
    <row r="91" spans="1:13" x14ac:dyDescent="0.25">
      <c r="A91" s="11" t="s">
        <v>189</v>
      </c>
      <c r="B91" s="11" t="s">
        <v>138</v>
      </c>
      <c r="C91" s="12" t="s">
        <v>36</v>
      </c>
      <c r="D91" s="9" t="s">
        <v>271</v>
      </c>
      <c r="E91" s="9">
        <v>34.5</v>
      </c>
      <c r="F91" s="19">
        <v>20</v>
      </c>
      <c r="G91" s="16" t="s">
        <v>206</v>
      </c>
      <c r="H91" s="13">
        <v>20</v>
      </c>
      <c r="I91" s="13" t="s">
        <v>273</v>
      </c>
      <c r="J91" s="13" t="s">
        <v>114</v>
      </c>
      <c r="K91" s="16" t="s">
        <v>109</v>
      </c>
      <c r="L91" s="16" t="s">
        <v>90</v>
      </c>
      <c r="M91" s="64" t="s">
        <v>1213</v>
      </c>
    </row>
    <row r="92" spans="1:13" x14ac:dyDescent="0.25">
      <c r="A92" s="11" t="s">
        <v>189</v>
      </c>
      <c r="B92" s="11" t="s">
        <v>138</v>
      </c>
      <c r="C92" s="12" t="s">
        <v>36</v>
      </c>
      <c r="D92" s="9" t="s">
        <v>271</v>
      </c>
      <c r="E92" s="9">
        <v>34.5</v>
      </c>
      <c r="F92" s="19">
        <v>15</v>
      </c>
      <c r="G92" s="16" t="s">
        <v>208</v>
      </c>
      <c r="H92" s="13">
        <v>15</v>
      </c>
      <c r="I92" s="13" t="s">
        <v>274</v>
      </c>
      <c r="J92" s="13" t="s">
        <v>114</v>
      </c>
      <c r="K92" s="16" t="s">
        <v>89</v>
      </c>
      <c r="L92" s="16" t="s">
        <v>93</v>
      </c>
      <c r="M92" s="64" t="s">
        <v>1213</v>
      </c>
    </row>
    <row r="93" spans="1:13" x14ac:dyDescent="0.25">
      <c r="A93" s="11" t="s">
        <v>189</v>
      </c>
      <c r="B93" s="11" t="s">
        <v>138</v>
      </c>
      <c r="C93" s="12" t="s">
        <v>275</v>
      </c>
      <c r="D93" s="9" t="s">
        <v>276</v>
      </c>
      <c r="E93" s="9">
        <v>34.5</v>
      </c>
      <c r="F93" s="19">
        <v>36</v>
      </c>
      <c r="G93" s="16" t="s">
        <v>192</v>
      </c>
      <c r="H93" s="13">
        <v>36</v>
      </c>
      <c r="I93" s="13" t="s">
        <v>277</v>
      </c>
      <c r="J93" s="13" t="s">
        <v>114</v>
      </c>
      <c r="K93" s="16" t="s">
        <v>109</v>
      </c>
      <c r="L93" s="16" t="s">
        <v>90</v>
      </c>
      <c r="M93" s="64" t="s">
        <v>1213</v>
      </c>
    </row>
    <row r="94" spans="1:13" x14ac:dyDescent="0.25">
      <c r="A94" s="11" t="s">
        <v>189</v>
      </c>
      <c r="B94" s="11" t="s">
        <v>138</v>
      </c>
      <c r="C94" s="12" t="s">
        <v>278</v>
      </c>
      <c r="D94" s="9" t="s">
        <v>279</v>
      </c>
      <c r="E94" s="9">
        <v>34.5</v>
      </c>
      <c r="F94" s="19">
        <v>1.5</v>
      </c>
      <c r="G94" s="16" t="s">
        <v>192</v>
      </c>
      <c r="H94" s="13">
        <v>1.5</v>
      </c>
      <c r="I94" s="13" t="s">
        <v>280</v>
      </c>
      <c r="J94" s="13" t="s">
        <v>88</v>
      </c>
      <c r="K94" s="16" t="s">
        <v>89</v>
      </c>
      <c r="L94" s="16" t="s">
        <v>90</v>
      </c>
      <c r="M94" s="64" t="s">
        <v>1213</v>
      </c>
    </row>
    <row r="95" spans="1:13" x14ac:dyDescent="0.25">
      <c r="A95" s="11" t="s">
        <v>189</v>
      </c>
      <c r="B95" s="11" t="s">
        <v>138</v>
      </c>
      <c r="C95" s="12" t="s">
        <v>281</v>
      </c>
      <c r="D95" s="9" t="s">
        <v>282</v>
      </c>
      <c r="E95" s="9">
        <v>34.5</v>
      </c>
      <c r="F95" s="19">
        <v>1.5</v>
      </c>
      <c r="G95" s="16" t="s">
        <v>192</v>
      </c>
      <c r="H95" s="13"/>
      <c r="I95" s="13" t="s">
        <v>283</v>
      </c>
      <c r="J95" s="13" t="s">
        <v>88</v>
      </c>
      <c r="K95" s="16" t="s">
        <v>89</v>
      </c>
      <c r="L95" s="16" t="s">
        <v>90</v>
      </c>
      <c r="M95" s="64" t="s">
        <v>1213</v>
      </c>
    </row>
    <row r="96" spans="1:13" x14ac:dyDescent="0.25">
      <c r="A96" s="11" t="s">
        <v>189</v>
      </c>
      <c r="B96" s="11" t="s">
        <v>138</v>
      </c>
      <c r="C96" s="12" t="s">
        <v>284</v>
      </c>
      <c r="D96" s="9" t="s">
        <v>285</v>
      </c>
      <c r="E96" s="9">
        <v>34.5</v>
      </c>
      <c r="F96" s="19">
        <v>10</v>
      </c>
      <c r="G96" s="16" t="s">
        <v>192</v>
      </c>
      <c r="H96" s="13">
        <v>10</v>
      </c>
      <c r="I96" s="13" t="s">
        <v>225</v>
      </c>
      <c r="J96" s="13" t="s">
        <v>114</v>
      </c>
      <c r="K96" s="16" t="s">
        <v>89</v>
      </c>
      <c r="L96" s="16" t="s">
        <v>90</v>
      </c>
      <c r="M96" s="64" t="s">
        <v>1213</v>
      </c>
    </row>
    <row r="97" spans="1:13" x14ac:dyDescent="0.25">
      <c r="A97" s="11" t="s">
        <v>189</v>
      </c>
      <c r="B97" s="11" t="s">
        <v>138</v>
      </c>
      <c r="C97" s="12" t="s">
        <v>284</v>
      </c>
      <c r="D97" s="9" t="s">
        <v>285</v>
      </c>
      <c r="E97" s="9">
        <v>34.5</v>
      </c>
      <c r="F97" s="19">
        <v>10</v>
      </c>
      <c r="G97" s="16" t="s">
        <v>206</v>
      </c>
      <c r="H97" s="13">
        <v>10</v>
      </c>
      <c r="I97" s="13" t="s">
        <v>286</v>
      </c>
      <c r="J97" s="13" t="s">
        <v>88</v>
      </c>
      <c r="K97" s="16" t="s">
        <v>89</v>
      </c>
      <c r="L97" s="16" t="s">
        <v>90</v>
      </c>
      <c r="M97" s="64" t="s">
        <v>1213</v>
      </c>
    </row>
    <row r="98" spans="1:13" x14ac:dyDescent="0.25">
      <c r="A98" s="11" t="s">
        <v>189</v>
      </c>
      <c r="B98" s="11" t="s">
        <v>138</v>
      </c>
      <c r="C98" s="12" t="s">
        <v>287</v>
      </c>
      <c r="D98" s="9" t="s">
        <v>288</v>
      </c>
      <c r="E98" s="9">
        <v>34.5</v>
      </c>
      <c r="F98" s="19">
        <v>5</v>
      </c>
      <c r="G98" s="16" t="s">
        <v>192</v>
      </c>
      <c r="H98" s="13">
        <v>5</v>
      </c>
      <c r="I98" s="13" t="s">
        <v>289</v>
      </c>
      <c r="J98" s="13" t="s">
        <v>88</v>
      </c>
      <c r="K98" s="16" t="s">
        <v>89</v>
      </c>
      <c r="L98" s="16" t="s">
        <v>90</v>
      </c>
      <c r="M98" s="64" t="s">
        <v>1213</v>
      </c>
    </row>
    <row r="99" spans="1:13" x14ac:dyDescent="0.25">
      <c r="A99" s="11" t="s">
        <v>189</v>
      </c>
      <c r="B99" s="11" t="s">
        <v>138</v>
      </c>
      <c r="C99" s="12" t="s">
        <v>290</v>
      </c>
      <c r="D99" s="9" t="s">
        <v>291</v>
      </c>
      <c r="E99" s="9">
        <v>34.5</v>
      </c>
      <c r="F99" s="19">
        <v>20</v>
      </c>
      <c r="G99" s="16" t="s">
        <v>192</v>
      </c>
      <c r="H99" s="13">
        <v>20</v>
      </c>
      <c r="I99" s="13" t="s">
        <v>292</v>
      </c>
      <c r="J99" s="13" t="s">
        <v>114</v>
      </c>
      <c r="K99" s="16" t="s">
        <v>89</v>
      </c>
      <c r="L99" s="16" t="s">
        <v>90</v>
      </c>
      <c r="M99" s="64" t="s">
        <v>1213</v>
      </c>
    </row>
    <row r="100" spans="1:13" x14ac:dyDescent="0.25">
      <c r="A100" s="11" t="s">
        <v>189</v>
      </c>
      <c r="B100" s="11" t="s">
        <v>138</v>
      </c>
      <c r="C100" s="12" t="s">
        <v>290</v>
      </c>
      <c r="D100" s="9" t="s">
        <v>291</v>
      </c>
      <c r="E100" s="9">
        <v>34.5</v>
      </c>
      <c r="F100" s="19">
        <v>20</v>
      </c>
      <c r="G100" s="16" t="s">
        <v>206</v>
      </c>
      <c r="H100" s="13">
        <v>20</v>
      </c>
      <c r="I100" s="13" t="s">
        <v>293</v>
      </c>
      <c r="J100" s="13" t="s">
        <v>114</v>
      </c>
      <c r="K100" s="16" t="s">
        <v>89</v>
      </c>
      <c r="L100" s="16" t="s">
        <v>90</v>
      </c>
      <c r="M100" s="64" t="s">
        <v>1213</v>
      </c>
    </row>
    <row r="101" spans="1:13" x14ac:dyDescent="0.25">
      <c r="A101" s="11" t="s">
        <v>189</v>
      </c>
      <c r="B101" s="11" t="s">
        <v>138</v>
      </c>
      <c r="C101" s="12" t="s">
        <v>294</v>
      </c>
      <c r="D101" s="9" t="s">
        <v>295</v>
      </c>
      <c r="E101" s="9">
        <v>34.5</v>
      </c>
      <c r="F101" s="19">
        <v>10</v>
      </c>
      <c r="G101" s="16" t="s">
        <v>192</v>
      </c>
      <c r="H101" s="13">
        <v>10</v>
      </c>
      <c r="I101" s="13" t="s">
        <v>296</v>
      </c>
      <c r="J101" s="13" t="s">
        <v>88</v>
      </c>
      <c r="K101" s="16" t="s">
        <v>89</v>
      </c>
      <c r="L101" s="16" t="s">
        <v>90</v>
      </c>
      <c r="M101" s="64" t="s">
        <v>1213</v>
      </c>
    </row>
    <row r="102" spans="1:13" x14ac:dyDescent="0.25">
      <c r="A102" s="11" t="s">
        <v>189</v>
      </c>
      <c r="B102" s="11" t="s">
        <v>138</v>
      </c>
      <c r="C102" s="12" t="s">
        <v>294</v>
      </c>
      <c r="D102" s="9" t="s">
        <v>295</v>
      </c>
      <c r="E102" s="9">
        <v>34.5</v>
      </c>
      <c r="F102" s="19">
        <v>15</v>
      </c>
      <c r="G102" s="16" t="s">
        <v>206</v>
      </c>
      <c r="H102" s="13">
        <v>15</v>
      </c>
      <c r="I102" s="13" t="s">
        <v>297</v>
      </c>
      <c r="J102" s="13" t="s">
        <v>88</v>
      </c>
      <c r="K102" s="16" t="s">
        <v>89</v>
      </c>
      <c r="L102" s="16" t="s">
        <v>90</v>
      </c>
      <c r="M102" s="64" t="s">
        <v>1213</v>
      </c>
    </row>
    <row r="103" spans="1:13" x14ac:dyDescent="0.25">
      <c r="A103" s="9" t="s">
        <v>298</v>
      </c>
      <c r="B103" s="9" t="s">
        <v>149</v>
      </c>
      <c r="C103" s="10" t="s">
        <v>299</v>
      </c>
      <c r="D103" s="9" t="s">
        <v>300</v>
      </c>
      <c r="E103" s="9">
        <v>34.5</v>
      </c>
      <c r="F103" s="23">
        <v>5</v>
      </c>
      <c r="G103" s="16" t="s">
        <v>301</v>
      </c>
      <c r="H103" s="23">
        <v>5</v>
      </c>
      <c r="I103" s="23" t="s">
        <v>302</v>
      </c>
      <c r="J103" s="16" t="s">
        <v>114</v>
      </c>
      <c r="K103" s="16" t="s">
        <v>89</v>
      </c>
      <c r="L103" s="16" t="s">
        <v>90</v>
      </c>
      <c r="M103" s="64" t="s">
        <v>1213</v>
      </c>
    </row>
    <row r="104" spans="1:13" x14ac:dyDescent="0.25">
      <c r="A104" s="9" t="s">
        <v>298</v>
      </c>
      <c r="B104" s="9" t="s">
        <v>149</v>
      </c>
      <c r="C104" s="10" t="s">
        <v>190</v>
      </c>
      <c r="D104" s="9" t="s">
        <v>303</v>
      </c>
      <c r="E104" s="9">
        <v>34.5</v>
      </c>
      <c r="F104" s="23">
        <v>5</v>
      </c>
      <c r="G104" s="16" t="s">
        <v>301</v>
      </c>
      <c r="H104" s="23">
        <v>5</v>
      </c>
      <c r="I104" s="23" t="s">
        <v>304</v>
      </c>
      <c r="J104" s="16" t="s">
        <v>88</v>
      </c>
      <c r="K104" s="16" t="s">
        <v>89</v>
      </c>
      <c r="L104" s="16" t="s">
        <v>90</v>
      </c>
      <c r="M104" s="64" t="s">
        <v>1213</v>
      </c>
    </row>
    <row r="105" spans="1:13" x14ac:dyDescent="0.25">
      <c r="A105" s="9" t="s">
        <v>298</v>
      </c>
      <c r="B105" s="9" t="s">
        <v>149</v>
      </c>
      <c r="C105" s="10" t="s">
        <v>305</v>
      </c>
      <c r="D105" s="9" t="s">
        <v>306</v>
      </c>
      <c r="E105" s="9">
        <v>34.5</v>
      </c>
      <c r="F105" s="23">
        <v>10</v>
      </c>
      <c r="G105" s="16" t="s">
        <v>301</v>
      </c>
      <c r="H105" s="23">
        <v>10</v>
      </c>
      <c r="I105" s="23" t="s">
        <v>307</v>
      </c>
      <c r="J105" s="16" t="s">
        <v>114</v>
      </c>
      <c r="K105" s="16" t="s">
        <v>89</v>
      </c>
      <c r="L105" s="16" t="s">
        <v>90</v>
      </c>
      <c r="M105" s="64" t="s">
        <v>1213</v>
      </c>
    </row>
    <row r="106" spans="1:13" x14ac:dyDescent="0.25">
      <c r="A106" s="9" t="s">
        <v>298</v>
      </c>
      <c r="B106" s="9" t="s">
        <v>149</v>
      </c>
      <c r="C106" s="10" t="s">
        <v>308</v>
      </c>
      <c r="D106" s="9" t="s">
        <v>309</v>
      </c>
      <c r="E106" s="9">
        <v>34.5</v>
      </c>
      <c r="F106" s="23">
        <v>10</v>
      </c>
      <c r="G106" s="16" t="s">
        <v>301</v>
      </c>
      <c r="H106" s="23">
        <v>10</v>
      </c>
      <c r="I106" s="23" t="s">
        <v>310</v>
      </c>
      <c r="J106" s="16" t="s">
        <v>88</v>
      </c>
      <c r="K106" s="16" t="s">
        <v>89</v>
      </c>
      <c r="L106" s="16" t="s">
        <v>90</v>
      </c>
      <c r="M106" s="64" t="s">
        <v>1213</v>
      </c>
    </row>
    <row r="107" spans="1:13" x14ac:dyDescent="0.25">
      <c r="A107" s="9" t="s">
        <v>298</v>
      </c>
      <c r="B107" s="9" t="s">
        <v>149</v>
      </c>
      <c r="C107" s="10" t="s">
        <v>311</v>
      </c>
      <c r="D107" s="9" t="s">
        <v>312</v>
      </c>
      <c r="E107" s="9">
        <v>34.5</v>
      </c>
      <c r="F107" s="23">
        <v>2</v>
      </c>
      <c r="G107" s="16" t="s">
        <v>301</v>
      </c>
      <c r="H107" s="23">
        <v>2</v>
      </c>
      <c r="I107" s="23" t="s">
        <v>313</v>
      </c>
      <c r="J107" s="16" t="s">
        <v>88</v>
      </c>
      <c r="K107" s="16" t="s">
        <v>89</v>
      </c>
      <c r="L107" s="16" t="s">
        <v>90</v>
      </c>
      <c r="M107" s="64" t="s">
        <v>1213</v>
      </c>
    </row>
    <row r="108" spans="1:13" x14ac:dyDescent="0.25">
      <c r="A108" s="9" t="s">
        <v>298</v>
      </c>
      <c r="B108" s="9" t="s">
        <v>149</v>
      </c>
      <c r="C108" s="10" t="s">
        <v>314</v>
      </c>
      <c r="D108" s="9" t="s">
        <v>315</v>
      </c>
      <c r="E108" s="9">
        <v>34.5</v>
      </c>
      <c r="F108" s="23">
        <v>5</v>
      </c>
      <c r="G108" s="16" t="s">
        <v>301</v>
      </c>
      <c r="H108" s="23">
        <v>5</v>
      </c>
      <c r="I108" s="23" t="s">
        <v>316</v>
      </c>
      <c r="J108" s="16" t="s">
        <v>88</v>
      </c>
      <c r="K108" s="16" t="s">
        <v>89</v>
      </c>
      <c r="L108" s="16" t="s">
        <v>90</v>
      </c>
      <c r="M108" s="64" t="s">
        <v>1213</v>
      </c>
    </row>
    <row r="109" spans="1:13" x14ac:dyDescent="0.25">
      <c r="A109" s="9" t="s">
        <v>298</v>
      </c>
      <c r="B109" s="9" t="s">
        <v>149</v>
      </c>
      <c r="C109" s="10" t="s">
        <v>317</v>
      </c>
      <c r="D109" s="9" t="s">
        <v>318</v>
      </c>
      <c r="E109" s="9">
        <v>34.5</v>
      </c>
      <c r="F109" s="23">
        <v>20</v>
      </c>
      <c r="G109" s="16" t="s">
        <v>301</v>
      </c>
      <c r="H109" s="23">
        <v>20</v>
      </c>
      <c r="I109" s="23" t="s">
        <v>319</v>
      </c>
      <c r="J109" s="16" t="s">
        <v>114</v>
      </c>
      <c r="K109" s="16" t="s">
        <v>89</v>
      </c>
      <c r="L109" s="16" t="s">
        <v>90</v>
      </c>
      <c r="M109" s="64" t="s">
        <v>1213</v>
      </c>
    </row>
    <row r="110" spans="1:13" x14ac:dyDescent="0.25">
      <c r="A110" s="9" t="s">
        <v>298</v>
      </c>
      <c r="B110" s="9" t="s">
        <v>149</v>
      </c>
      <c r="C110" s="10" t="s">
        <v>320</v>
      </c>
      <c r="D110" s="9" t="s">
        <v>321</v>
      </c>
      <c r="E110" s="9">
        <v>34.5</v>
      </c>
      <c r="F110" s="23">
        <v>3</v>
      </c>
      <c r="G110" s="16" t="s">
        <v>301</v>
      </c>
      <c r="H110" s="23">
        <v>3</v>
      </c>
      <c r="I110" s="23" t="s">
        <v>322</v>
      </c>
      <c r="J110" s="16" t="s">
        <v>88</v>
      </c>
      <c r="K110" s="16" t="s">
        <v>89</v>
      </c>
      <c r="L110" s="16" t="s">
        <v>90</v>
      </c>
      <c r="M110" s="64" t="s">
        <v>1213</v>
      </c>
    </row>
    <row r="111" spans="1:13" x14ac:dyDescent="0.25">
      <c r="A111" s="9" t="s">
        <v>298</v>
      </c>
      <c r="B111" s="9" t="s">
        <v>149</v>
      </c>
      <c r="C111" s="10" t="s">
        <v>323</v>
      </c>
      <c r="D111" s="9" t="s">
        <v>324</v>
      </c>
      <c r="E111" s="9">
        <v>34.5</v>
      </c>
      <c r="F111" s="23">
        <v>17.5</v>
      </c>
      <c r="G111" s="16" t="s">
        <v>301</v>
      </c>
      <c r="H111" s="23">
        <v>10</v>
      </c>
      <c r="I111" s="23" t="s">
        <v>325</v>
      </c>
      <c r="J111" s="16" t="s">
        <v>114</v>
      </c>
      <c r="K111" s="16" t="s">
        <v>89</v>
      </c>
      <c r="L111" s="16" t="s">
        <v>90</v>
      </c>
      <c r="M111" s="64" t="s">
        <v>1213</v>
      </c>
    </row>
    <row r="112" spans="1:13" x14ac:dyDescent="0.25">
      <c r="A112" s="9" t="s">
        <v>298</v>
      </c>
      <c r="B112" s="9" t="s">
        <v>149</v>
      </c>
      <c r="C112" s="10" t="s">
        <v>323</v>
      </c>
      <c r="D112" s="9" t="s">
        <v>324</v>
      </c>
      <c r="E112" s="9">
        <v>34.5</v>
      </c>
      <c r="F112" s="23">
        <v>17.5</v>
      </c>
      <c r="G112" s="16" t="s">
        <v>326</v>
      </c>
      <c r="H112" s="23">
        <v>7.5</v>
      </c>
      <c r="I112" s="23" t="s">
        <v>327</v>
      </c>
      <c r="J112" s="16" t="s">
        <v>114</v>
      </c>
      <c r="K112" s="16" t="s">
        <v>89</v>
      </c>
      <c r="L112" s="16" t="s">
        <v>90</v>
      </c>
      <c r="M112" s="64" t="s">
        <v>1213</v>
      </c>
    </row>
    <row r="113" spans="1:13" x14ac:dyDescent="0.25">
      <c r="A113" s="9" t="s">
        <v>298</v>
      </c>
      <c r="B113" s="9" t="s">
        <v>149</v>
      </c>
      <c r="C113" s="10" t="s">
        <v>328</v>
      </c>
      <c r="D113" s="9" t="s">
        <v>329</v>
      </c>
      <c r="E113" s="9">
        <v>34.5</v>
      </c>
      <c r="F113" s="23">
        <v>20</v>
      </c>
      <c r="G113" s="16" t="s">
        <v>301</v>
      </c>
      <c r="H113" s="23">
        <v>10</v>
      </c>
      <c r="I113" s="23" t="s">
        <v>330</v>
      </c>
      <c r="J113" s="16" t="s">
        <v>88</v>
      </c>
      <c r="K113" s="16" t="s">
        <v>89</v>
      </c>
      <c r="L113" s="16" t="s">
        <v>90</v>
      </c>
      <c r="M113" s="64" t="s">
        <v>1213</v>
      </c>
    </row>
    <row r="114" spans="1:13" x14ac:dyDescent="0.25">
      <c r="A114" s="9" t="s">
        <v>298</v>
      </c>
      <c r="B114" s="9" t="s">
        <v>149</v>
      </c>
      <c r="C114" s="10" t="s">
        <v>328</v>
      </c>
      <c r="D114" s="9" t="s">
        <v>329</v>
      </c>
      <c r="E114" s="9">
        <v>34.5</v>
      </c>
      <c r="F114" s="23">
        <v>20</v>
      </c>
      <c r="G114" s="16" t="s">
        <v>326</v>
      </c>
      <c r="H114" s="23">
        <v>10</v>
      </c>
      <c r="I114" s="23" t="s">
        <v>331</v>
      </c>
      <c r="J114" s="16" t="s">
        <v>114</v>
      </c>
      <c r="K114" s="16" t="s">
        <v>89</v>
      </c>
      <c r="L114" s="16" t="s">
        <v>90</v>
      </c>
      <c r="M114" s="64" t="s">
        <v>1213</v>
      </c>
    </row>
    <row r="115" spans="1:13" x14ac:dyDescent="0.25">
      <c r="A115" s="9" t="s">
        <v>298</v>
      </c>
      <c r="B115" s="9" t="s">
        <v>149</v>
      </c>
      <c r="C115" s="10" t="s">
        <v>45</v>
      </c>
      <c r="D115" s="9" t="s">
        <v>332</v>
      </c>
      <c r="E115" s="9">
        <v>34.5</v>
      </c>
      <c r="F115" s="23">
        <v>0</v>
      </c>
      <c r="G115" s="16" t="s">
        <v>301</v>
      </c>
      <c r="H115" s="23">
        <v>0</v>
      </c>
      <c r="I115" s="23"/>
      <c r="J115" s="16" t="s">
        <v>88</v>
      </c>
      <c r="K115" s="16" t="s">
        <v>109</v>
      </c>
      <c r="L115" s="16" t="s">
        <v>90</v>
      </c>
      <c r="M115" s="64" t="s">
        <v>1213</v>
      </c>
    </row>
    <row r="116" spans="1:13" x14ac:dyDescent="0.25">
      <c r="A116" s="9" t="s">
        <v>298</v>
      </c>
      <c r="B116" s="9" t="s">
        <v>149</v>
      </c>
      <c r="C116" s="10" t="s">
        <v>333</v>
      </c>
      <c r="D116" s="9" t="s">
        <v>334</v>
      </c>
      <c r="E116" s="9">
        <v>34.5</v>
      </c>
      <c r="F116" s="23">
        <v>10</v>
      </c>
      <c r="G116" s="16" t="s">
        <v>301</v>
      </c>
      <c r="H116" s="23">
        <v>10</v>
      </c>
      <c r="I116" s="23" t="s">
        <v>335</v>
      </c>
      <c r="J116" s="16" t="s">
        <v>114</v>
      </c>
      <c r="K116" s="16" t="s">
        <v>89</v>
      </c>
      <c r="L116" s="16" t="s">
        <v>90</v>
      </c>
      <c r="M116" s="64" t="s">
        <v>1213</v>
      </c>
    </row>
    <row r="117" spans="1:13" x14ac:dyDescent="0.25">
      <c r="A117" s="9" t="s">
        <v>298</v>
      </c>
      <c r="B117" s="9" t="s">
        <v>149</v>
      </c>
      <c r="C117" s="10" t="s">
        <v>336</v>
      </c>
      <c r="D117" s="9" t="s">
        <v>337</v>
      </c>
      <c r="E117" s="9">
        <v>34.5</v>
      </c>
      <c r="F117" s="23">
        <v>10</v>
      </c>
      <c r="G117" s="16" t="s">
        <v>301</v>
      </c>
      <c r="H117" s="23">
        <v>10</v>
      </c>
      <c r="I117" s="23" t="s">
        <v>338</v>
      </c>
      <c r="J117" s="16" t="s">
        <v>88</v>
      </c>
      <c r="K117" s="16" t="s">
        <v>89</v>
      </c>
      <c r="L117" s="16" t="s">
        <v>90</v>
      </c>
      <c r="M117" s="64" t="s">
        <v>1213</v>
      </c>
    </row>
    <row r="118" spans="1:13" x14ac:dyDescent="0.25">
      <c r="A118" s="9" t="s">
        <v>298</v>
      </c>
      <c r="B118" s="9" t="s">
        <v>149</v>
      </c>
      <c r="C118" s="10" t="s">
        <v>339</v>
      </c>
      <c r="D118" s="9" t="s">
        <v>340</v>
      </c>
      <c r="E118" s="9">
        <v>34.5</v>
      </c>
      <c r="F118" s="23">
        <v>10</v>
      </c>
      <c r="G118" s="16" t="s">
        <v>301</v>
      </c>
      <c r="H118" s="23">
        <v>10</v>
      </c>
      <c r="I118" s="23" t="s">
        <v>341</v>
      </c>
      <c r="J118" s="16" t="s">
        <v>88</v>
      </c>
      <c r="K118" s="16" t="s">
        <v>89</v>
      </c>
      <c r="L118" s="16" t="s">
        <v>90</v>
      </c>
      <c r="M118" s="64" t="s">
        <v>1213</v>
      </c>
    </row>
    <row r="119" spans="1:13" x14ac:dyDescent="0.25">
      <c r="A119" s="9" t="s">
        <v>298</v>
      </c>
      <c r="B119" s="9" t="s">
        <v>149</v>
      </c>
      <c r="C119" s="10" t="s">
        <v>339</v>
      </c>
      <c r="D119" s="9" t="s">
        <v>340</v>
      </c>
      <c r="E119" s="9">
        <v>34.5</v>
      </c>
      <c r="F119" s="23">
        <v>10</v>
      </c>
      <c r="G119" s="16" t="s">
        <v>326</v>
      </c>
      <c r="H119" s="13">
        <v>10</v>
      </c>
      <c r="I119" s="23" t="s">
        <v>342</v>
      </c>
      <c r="J119" s="16" t="s">
        <v>88</v>
      </c>
      <c r="K119" s="16" t="s">
        <v>109</v>
      </c>
      <c r="L119" s="16" t="s">
        <v>90</v>
      </c>
      <c r="M119" s="64" t="s">
        <v>1213</v>
      </c>
    </row>
    <row r="120" spans="1:13" x14ac:dyDescent="0.25">
      <c r="A120" s="9" t="s">
        <v>298</v>
      </c>
      <c r="B120" s="9" t="s">
        <v>149</v>
      </c>
      <c r="C120" s="10" t="s">
        <v>343</v>
      </c>
      <c r="D120" s="9" t="s">
        <v>344</v>
      </c>
      <c r="E120" s="9">
        <v>34.5</v>
      </c>
      <c r="F120" s="23">
        <v>2</v>
      </c>
      <c r="G120" s="16" t="s">
        <v>301</v>
      </c>
      <c r="H120" s="23">
        <v>2</v>
      </c>
      <c r="I120" s="23" t="s">
        <v>345</v>
      </c>
      <c r="J120" s="16" t="s">
        <v>88</v>
      </c>
      <c r="K120" s="16" t="s">
        <v>89</v>
      </c>
      <c r="L120" s="16" t="s">
        <v>90</v>
      </c>
      <c r="M120" s="64" t="s">
        <v>1213</v>
      </c>
    </row>
    <row r="121" spans="1:13" x14ac:dyDescent="0.25">
      <c r="A121" s="9" t="s">
        <v>298</v>
      </c>
      <c r="B121" s="9" t="s">
        <v>149</v>
      </c>
      <c r="C121" s="10" t="s">
        <v>46</v>
      </c>
      <c r="D121" s="9" t="s">
        <v>346</v>
      </c>
      <c r="E121" s="9">
        <v>34.5</v>
      </c>
      <c r="F121" s="23">
        <v>8.5</v>
      </c>
      <c r="G121" s="16" t="s">
        <v>301</v>
      </c>
      <c r="H121" s="23">
        <v>8.5</v>
      </c>
      <c r="I121" s="23"/>
      <c r="J121" s="16" t="s">
        <v>88</v>
      </c>
      <c r="K121" s="16" t="s">
        <v>109</v>
      </c>
      <c r="L121" s="16" t="s">
        <v>93</v>
      </c>
      <c r="M121" s="64" t="s">
        <v>1213</v>
      </c>
    </row>
    <row r="122" spans="1:13" x14ac:dyDescent="0.25">
      <c r="A122" s="9" t="s">
        <v>298</v>
      </c>
      <c r="B122" s="9" t="s">
        <v>149</v>
      </c>
      <c r="C122" s="10" t="s">
        <v>17</v>
      </c>
      <c r="D122" s="9" t="s">
        <v>347</v>
      </c>
      <c r="E122" s="9">
        <v>34.5</v>
      </c>
      <c r="F122" s="23">
        <v>5</v>
      </c>
      <c r="G122" s="16" t="s">
        <v>301</v>
      </c>
      <c r="H122" s="23">
        <v>5</v>
      </c>
      <c r="I122" s="23" t="s">
        <v>348</v>
      </c>
      <c r="J122" s="16" t="s">
        <v>88</v>
      </c>
      <c r="K122" s="16" t="s">
        <v>89</v>
      </c>
      <c r="L122" s="16" t="s">
        <v>90</v>
      </c>
      <c r="M122" s="64" t="s">
        <v>1213</v>
      </c>
    </row>
    <row r="123" spans="1:13" x14ac:dyDescent="0.25">
      <c r="A123" s="9" t="s">
        <v>298</v>
      </c>
      <c r="B123" s="9" t="s">
        <v>149</v>
      </c>
      <c r="C123" s="10" t="s">
        <v>47</v>
      </c>
      <c r="D123" s="9" t="s">
        <v>349</v>
      </c>
      <c r="E123" s="9">
        <v>34.5</v>
      </c>
      <c r="F123" s="23">
        <v>0</v>
      </c>
      <c r="G123" s="16" t="s">
        <v>301</v>
      </c>
      <c r="H123" s="23">
        <v>0</v>
      </c>
      <c r="I123" s="23"/>
      <c r="J123" s="16" t="s">
        <v>88</v>
      </c>
      <c r="K123" s="16" t="s">
        <v>109</v>
      </c>
      <c r="L123" s="16" t="s">
        <v>90</v>
      </c>
      <c r="M123" s="64" t="s">
        <v>1213</v>
      </c>
    </row>
    <row r="124" spans="1:13" x14ac:dyDescent="0.25">
      <c r="A124" s="9" t="s">
        <v>298</v>
      </c>
      <c r="B124" s="9" t="s">
        <v>149</v>
      </c>
      <c r="C124" s="10" t="s">
        <v>48</v>
      </c>
      <c r="D124" s="9" t="s">
        <v>350</v>
      </c>
      <c r="E124" s="9">
        <v>34.5</v>
      </c>
      <c r="F124" s="23">
        <v>10</v>
      </c>
      <c r="G124" s="16" t="s">
        <v>301</v>
      </c>
      <c r="H124" s="23">
        <v>10</v>
      </c>
      <c r="I124" s="23" t="s">
        <v>351</v>
      </c>
      <c r="J124" s="16" t="s">
        <v>88</v>
      </c>
      <c r="K124" s="16" t="s">
        <v>89</v>
      </c>
      <c r="L124" s="16" t="s">
        <v>93</v>
      </c>
      <c r="M124" s="64" t="s">
        <v>1213</v>
      </c>
    </row>
    <row r="125" spans="1:13" x14ac:dyDescent="0.25">
      <c r="A125" s="9" t="s">
        <v>298</v>
      </c>
      <c r="B125" s="9" t="s">
        <v>149</v>
      </c>
      <c r="C125" s="10" t="s">
        <v>352</v>
      </c>
      <c r="D125" s="9" t="s">
        <v>353</v>
      </c>
      <c r="E125" s="9">
        <v>34.5</v>
      </c>
      <c r="F125" s="23">
        <v>5</v>
      </c>
      <c r="G125" s="16" t="s">
        <v>301</v>
      </c>
      <c r="H125" s="23">
        <v>5</v>
      </c>
      <c r="I125" s="23" t="s">
        <v>354</v>
      </c>
      <c r="J125" s="16" t="s">
        <v>114</v>
      </c>
      <c r="K125" s="16" t="s">
        <v>89</v>
      </c>
      <c r="L125" s="16" t="s">
        <v>90</v>
      </c>
      <c r="M125" s="64" t="s">
        <v>1213</v>
      </c>
    </row>
    <row r="126" spans="1:13" x14ac:dyDescent="0.25">
      <c r="A126" s="9" t="s">
        <v>298</v>
      </c>
      <c r="B126" s="9" t="s">
        <v>149</v>
      </c>
      <c r="C126" s="10" t="s">
        <v>355</v>
      </c>
      <c r="D126" s="9" t="s">
        <v>356</v>
      </c>
      <c r="E126" s="9">
        <v>34.5</v>
      </c>
      <c r="F126" s="23">
        <v>5</v>
      </c>
      <c r="G126" s="16" t="s">
        <v>301</v>
      </c>
      <c r="H126" s="23">
        <v>5</v>
      </c>
      <c r="I126" s="23" t="s">
        <v>357</v>
      </c>
      <c r="J126" s="16" t="s">
        <v>88</v>
      </c>
      <c r="K126" s="16" t="s">
        <v>89</v>
      </c>
      <c r="L126" s="16" t="s">
        <v>90</v>
      </c>
      <c r="M126" s="64" t="s">
        <v>1213</v>
      </c>
    </row>
    <row r="127" spans="1:13" x14ac:dyDescent="0.25">
      <c r="A127" s="9" t="s">
        <v>298</v>
      </c>
      <c r="B127" s="9" t="s">
        <v>149</v>
      </c>
      <c r="C127" s="10" t="s">
        <v>358</v>
      </c>
      <c r="D127" s="9" t="s">
        <v>359</v>
      </c>
      <c r="E127" s="9">
        <v>34.5</v>
      </c>
      <c r="F127" s="23">
        <v>5</v>
      </c>
      <c r="G127" s="16" t="s">
        <v>301</v>
      </c>
      <c r="H127" s="23">
        <v>5</v>
      </c>
      <c r="I127" s="23" t="s">
        <v>354</v>
      </c>
      <c r="J127" s="16" t="s">
        <v>88</v>
      </c>
      <c r="K127" s="16" t="s">
        <v>89</v>
      </c>
      <c r="L127" s="16" t="s">
        <v>90</v>
      </c>
      <c r="M127" s="64" t="s">
        <v>1213</v>
      </c>
    </row>
    <row r="128" spans="1:13" x14ac:dyDescent="0.25">
      <c r="A128" s="9" t="s">
        <v>298</v>
      </c>
      <c r="B128" s="9" t="s">
        <v>149</v>
      </c>
      <c r="C128" s="10" t="s">
        <v>49</v>
      </c>
      <c r="D128" s="9" t="s">
        <v>360</v>
      </c>
      <c r="E128" s="9">
        <v>34.5</v>
      </c>
      <c r="F128" s="23">
        <v>0</v>
      </c>
      <c r="G128" s="16" t="s">
        <v>301</v>
      </c>
      <c r="H128" s="23">
        <v>0</v>
      </c>
      <c r="I128" s="23"/>
      <c r="J128" s="16" t="s">
        <v>88</v>
      </c>
      <c r="K128" s="16" t="s">
        <v>109</v>
      </c>
      <c r="L128" s="16" t="s">
        <v>90</v>
      </c>
      <c r="M128" s="64" t="s">
        <v>1213</v>
      </c>
    </row>
    <row r="129" spans="1:13" x14ac:dyDescent="0.25">
      <c r="A129" s="9" t="s">
        <v>298</v>
      </c>
      <c r="B129" s="9" t="s">
        <v>149</v>
      </c>
      <c r="C129" s="10" t="s">
        <v>361</v>
      </c>
      <c r="D129" s="9" t="s">
        <v>362</v>
      </c>
      <c r="E129" s="9">
        <v>34.5</v>
      </c>
      <c r="F129" s="23">
        <v>2.65</v>
      </c>
      <c r="G129" s="16" t="s">
        <v>301</v>
      </c>
      <c r="H129" s="23">
        <v>2.65</v>
      </c>
      <c r="I129" s="23" t="s">
        <v>363</v>
      </c>
      <c r="J129" s="16" t="s">
        <v>88</v>
      </c>
      <c r="K129" s="16" t="s">
        <v>109</v>
      </c>
      <c r="L129" s="16" t="s">
        <v>90</v>
      </c>
      <c r="M129" s="64" t="s">
        <v>1213</v>
      </c>
    </row>
    <row r="130" spans="1:13" x14ac:dyDescent="0.25">
      <c r="A130" s="9" t="s">
        <v>298</v>
      </c>
      <c r="B130" s="9" t="s">
        <v>149</v>
      </c>
      <c r="C130" s="10" t="s">
        <v>364</v>
      </c>
      <c r="D130" s="9" t="s">
        <v>365</v>
      </c>
      <c r="E130" s="9">
        <v>34.5</v>
      </c>
      <c r="F130" s="23">
        <v>20</v>
      </c>
      <c r="G130" s="16" t="s">
        <v>301</v>
      </c>
      <c r="H130" s="23">
        <v>10</v>
      </c>
      <c r="I130" s="23" t="s">
        <v>366</v>
      </c>
      <c r="J130" s="16" t="s">
        <v>88</v>
      </c>
      <c r="K130" s="16" t="s">
        <v>89</v>
      </c>
      <c r="L130" s="16" t="s">
        <v>90</v>
      </c>
      <c r="M130" s="64" t="s">
        <v>1213</v>
      </c>
    </row>
    <row r="131" spans="1:13" x14ac:dyDescent="0.25">
      <c r="A131" s="9" t="s">
        <v>298</v>
      </c>
      <c r="B131" s="9" t="s">
        <v>149</v>
      </c>
      <c r="C131" s="10" t="s">
        <v>364</v>
      </c>
      <c r="D131" s="9" t="s">
        <v>365</v>
      </c>
      <c r="E131" s="9">
        <v>34.5</v>
      </c>
      <c r="F131" s="23">
        <v>20</v>
      </c>
      <c r="G131" s="16" t="s">
        <v>326</v>
      </c>
      <c r="H131" s="23">
        <v>10</v>
      </c>
      <c r="I131" s="23" t="s">
        <v>366</v>
      </c>
      <c r="J131" s="16" t="s">
        <v>88</v>
      </c>
      <c r="K131" s="16" t="s">
        <v>89</v>
      </c>
      <c r="L131" s="16" t="s">
        <v>90</v>
      </c>
      <c r="M131" s="64" t="s">
        <v>1213</v>
      </c>
    </row>
    <row r="132" spans="1:13" x14ac:dyDescent="0.25">
      <c r="A132" s="9" t="s">
        <v>298</v>
      </c>
      <c r="B132" s="9" t="s">
        <v>149</v>
      </c>
      <c r="C132" s="10" t="s">
        <v>367</v>
      </c>
      <c r="D132" s="9" t="s">
        <v>368</v>
      </c>
      <c r="E132" s="9">
        <v>34.5</v>
      </c>
      <c r="F132" s="23">
        <v>3</v>
      </c>
      <c r="G132" s="16" t="s">
        <v>301</v>
      </c>
      <c r="H132" s="23">
        <v>3</v>
      </c>
      <c r="I132" s="23" t="s">
        <v>322</v>
      </c>
      <c r="J132" s="16" t="s">
        <v>88</v>
      </c>
      <c r="K132" s="16" t="s">
        <v>89</v>
      </c>
      <c r="L132" s="16" t="s">
        <v>90</v>
      </c>
      <c r="M132" s="64" t="s">
        <v>1213</v>
      </c>
    </row>
    <row r="133" spans="1:13" x14ac:dyDescent="0.25">
      <c r="A133" s="9" t="s">
        <v>298</v>
      </c>
      <c r="B133" s="9" t="s">
        <v>149</v>
      </c>
      <c r="C133" s="10" t="s">
        <v>369</v>
      </c>
      <c r="D133" s="9" t="s">
        <v>370</v>
      </c>
      <c r="E133" s="9">
        <v>34.5</v>
      </c>
      <c r="F133" s="23">
        <v>5</v>
      </c>
      <c r="G133" s="16" t="s">
        <v>301</v>
      </c>
      <c r="H133" s="23">
        <v>5</v>
      </c>
      <c r="I133" s="23" t="s">
        <v>371</v>
      </c>
      <c r="J133" s="16" t="s">
        <v>88</v>
      </c>
      <c r="K133" s="16" t="s">
        <v>89</v>
      </c>
      <c r="L133" s="16" t="s">
        <v>90</v>
      </c>
      <c r="M133" s="64" t="s">
        <v>1213</v>
      </c>
    </row>
    <row r="134" spans="1:13" x14ac:dyDescent="0.25">
      <c r="A134" s="9" t="s">
        <v>372</v>
      </c>
      <c r="B134" s="9" t="s">
        <v>141</v>
      </c>
      <c r="C134" s="10" t="s">
        <v>373</v>
      </c>
      <c r="D134" s="9" t="s">
        <v>374</v>
      </c>
      <c r="E134" s="9">
        <v>34.5</v>
      </c>
      <c r="F134" s="23">
        <v>10</v>
      </c>
      <c r="G134" s="16" t="s">
        <v>375</v>
      </c>
      <c r="H134" s="13">
        <v>10</v>
      </c>
      <c r="I134" s="23" t="s">
        <v>376</v>
      </c>
      <c r="J134" s="16" t="s">
        <v>88</v>
      </c>
      <c r="K134" s="16" t="s">
        <v>109</v>
      </c>
      <c r="L134" s="16" t="s">
        <v>90</v>
      </c>
      <c r="M134" s="64" t="s">
        <v>1213</v>
      </c>
    </row>
    <row r="135" spans="1:13" x14ac:dyDescent="0.25">
      <c r="A135" s="9" t="s">
        <v>372</v>
      </c>
      <c r="B135" s="9" t="s">
        <v>141</v>
      </c>
      <c r="C135" s="10" t="s">
        <v>377</v>
      </c>
      <c r="D135" s="9" t="s">
        <v>378</v>
      </c>
      <c r="E135" s="9">
        <v>34.5</v>
      </c>
      <c r="F135" s="23">
        <v>10</v>
      </c>
      <c r="G135" s="16" t="s">
        <v>379</v>
      </c>
      <c r="H135" s="23">
        <v>10</v>
      </c>
      <c r="I135" s="23" t="s">
        <v>380</v>
      </c>
      <c r="J135" s="16" t="s">
        <v>88</v>
      </c>
      <c r="K135" s="16" t="s">
        <v>89</v>
      </c>
      <c r="L135" s="16" t="s">
        <v>90</v>
      </c>
      <c r="M135" s="64" t="s">
        <v>1213</v>
      </c>
    </row>
    <row r="136" spans="1:13" x14ac:dyDescent="0.25">
      <c r="A136" s="9" t="s">
        <v>372</v>
      </c>
      <c r="B136" s="9" t="s">
        <v>141</v>
      </c>
      <c r="C136" s="10" t="s">
        <v>37</v>
      </c>
      <c r="D136" s="9" t="s">
        <v>381</v>
      </c>
      <c r="E136" s="9">
        <v>34.5</v>
      </c>
      <c r="F136" s="23">
        <v>15</v>
      </c>
      <c r="G136" s="16" t="s">
        <v>382</v>
      </c>
      <c r="H136" s="23">
        <v>15</v>
      </c>
      <c r="I136" s="23" t="s">
        <v>383</v>
      </c>
      <c r="J136" s="16" t="s">
        <v>88</v>
      </c>
      <c r="K136" s="16" t="s">
        <v>89</v>
      </c>
      <c r="L136" s="16" t="s">
        <v>93</v>
      </c>
      <c r="M136" s="64" t="s">
        <v>1213</v>
      </c>
    </row>
    <row r="137" spans="1:13" x14ac:dyDescent="0.25">
      <c r="A137" s="9" t="s">
        <v>372</v>
      </c>
      <c r="B137" s="9" t="s">
        <v>141</v>
      </c>
      <c r="C137" s="10" t="s">
        <v>384</v>
      </c>
      <c r="D137" s="9" t="s">
        <v>385</v>
      </c>
      <c r="E137" s="9">
        <v>34.5</v>
      </c>
      <c r="F137" s="23">
        <v>10</v>
      </c>
      <c r="G137" s="16" t="s">
        <v>386</v>
      </c>
      <c r="H137" s="23">
        <v>10</v>
      </c>
      <c r="I137" s="23" t="s">
        <v>387</v>
      </c>
      <c r="J137" s="16" t="s">
        <v>88</v>
      </c>
      <c r="K137" s="16" t="s">
        <v>89</v>
      </c>
      <c r="L137" s="16" t="s">
        <v>90</v>
      </c>
      <c r="M137" s="64" t="s">
        <v>1213</v>
      </c>
    </row>
    <row r="138" spans="1:13" x14ac:dyDescent="0.25">
      <c r="A138" s="9" t="s">
        <v>372</v>
      </c>
      <c r="B138" s="9" t="s">
        <v>141</v>
      </c>
      <c r="C138" s="10" t="s">
        <v>388</v>
      </c>
      <c r="D138" s="9" t="s">
        <v>389</v>
      </c>
      <c r="E138" s="9">
        <v>34.5</v>
      </c>
      <c r="F138" s="23">
        <v>10</v>
      </c>
      <c r="G138" s="16" t="s">
        <v>390</v>
      </c>
      <c r="H138" s="23">
        <v>10</v>
      </c>
      <c r="I138" s="23" t="s">
        <v>391</v>
      </c>
      <c r="J138" s="16" t="s">
        <v>114</v>
      </c>
      <c r="K138" s="16" t="s">
        <v>89</v>
      </c>
      <c r="L138" s="16" t="s">
        <v>90</v>
      </c>
      <c r="M138" s="64" t="s">
        <v>1213</v>
      </c>
    </row>
    <row r="139" spans="1:13" x14ac:dyDescent="0.25">
      <c r="A139" s="11" t="s">
        <v>392</v>
      </c>
      <c r="B139" s="11" t="s">
        <v>153</v>
      </c>
      <c r="C139" s="12" t="s">
        <v>393</v>
      </c>
      <c r="D139" s="9" t="s">
        <v>394</v>
      </c>
      <c r="E139" s="9">
        <v>34.5</v>
      </c>
      <c r="F139" s="24">
        <v>4.149</v>
      </c>
      <c r="G139" s="16" t="s">
        <v>395</v>
      </c>
      <c r="H139" s="11">
        <v>10</v>
      </c>
      <c r="I139" s="13" t="s">
        <v>396</v>
      </c>
      <c r="J139" s="13" t="s">
        <v>114</v>
      </c>
      <c r="K139" s="16" t="s">
        <v>89</v>
      </c>
      <c r="L139" s="16" t="s">
        <v>90</v>
      </c>
      <c r="M139" s="64" t="s">
        <v>1213</v>
      </c>
    </row>
    <row r="140" spans="1:13" x14ac:dyDescent="0.25">
      <c r="A140" s="11" t="s">
        <v>392</v>
      </c>
      <c r="B140" s="11" t="s">
        <v>153</v>
      </c>
      <c r="C140" s="12" t="s">
        <v>397</v>
      </c>
      <c r="D140" s="9" t="s">
        <v>398</v>
      </c>
      <c r="E140" s="9">
        <v>34.5</v>
      </c>
      <c r="F140" s="24">
        <v>5.8949999999999996</v>
      </c>
      <c r="G140" s="16" t="s">
        <v>395</v>
      </c>
      <c r="H140" s="11">
        <v>10</v>
      </c>
      <c r="I140" s="13" t="s">
        <v>399</v>
      </c>
      <c r="J140" s="13" t="s">
        <v>114</v>
      </c>
      <c r="K140" s="16" t="s">
        <v>89</v>
      </c>
      <c r="L140" s="16" t="s">
        <v>90</v>
      </c>
      <c r="M140" s="64" t="s">
        <v>1213</v>
      </c>
    </row>
    <row r="141" spans="1:13" x14ac:dyDescent="0.25">
      <c r="A141" s="11" t="s">
        <v>392</v>
      </c>
      <c r="B141" s="11" t="s">
        <v>153</v>
      </c>
      <c r="C141" s="12" t="s">
        <v>400</v>
      </c>
      <c r="D141" s="9" t="s">
        <v>401</v>
      </c>
      <c r="E141" s="9">
        <v>34.5</v>
      </c>
      <c r="F141" s="24">
        <v>3.1230000000000002</v>
      </c>
      <c r="G141" s="16" t="s">
        <v>395</v>
      </c>
      <c r="H141" s="11">
        <v>10</v>
      </c>
      <c r="I141" s="13" t="s">
        <v>402</v>
      </c>
      <c r="J141" s="13" t="s">
        <v>114</v>
      </c>
      <c r="K141" s="16" t="s">
        <v>89</v>
      </c>
      <c r="L141" s="16" t="s">
        <v>90</v>
      </c>
      <c r="M141" s="64" t="s">
        <v>1213</v>
      </c>
    </row>
    <row r="142" spans="1:13" x14ac:dyDescent="0.25">
      <c r="A142" s="11" t="s">
        <v>392</v>
      </c>
      <c r="B142" s="11" t="s">
        <v>153</v>
      </c>
      <c r="C142" s="12" t="s">
        <v>403</v>
      </c>
      <c r="D142" s="9" t="s">
        <v>404</v>
      </c>
      <c r="E142" s="9">
        <v>34.5</v>
      </c>
      <c r="F142" s="24">
        <v>5.0759999999999996</v>
      </c>
      <c r="G142" s="16" t="s">
        <v>395</v>
      </c>
      <c r="H142" s="25">
        <v>10</v>
      </c>
      <c r="I142" s="13" t="s">
        <v>405</v>
      </c>
      <c r="J142" s="13" t="s">
        <v>114</v>
      </c>
      <c r="K142" s="16" t="s">
        <v>89</v>
      </c>
      <c r="L142" s="16" t="s">
        <v>90</v>
      </c>
      <c r="M142" s="64" t="s">
        <v>1213</v>
      </c>
    </row>
    <row r="143" spans="1:13" x14ac:dyDescent="0.25">
      <c r="A143" s="11" t="s">
        <v>392</v>
      </c>
      <c r="B143" s="11" t="s">
        <v>153</v>
      </c>
      <c r="C143" s="12" t="s">
        <v>406</v>
      </c>
      <c r="D143" s="9" t="s">
        <v>407</v>
      </c>
      <c r="E143" s="9">
        <v>34.5</v>
      </c>
      <c r="F143" s="26">
        <v>1.9350000000000001</v>
      </c>
      <c r="G143" s="16" t="s">
        <v>395</v>
      </c>
      <c r="H143" s="27">
        <v>5</v>
      </c>
      <c r="I143" s="13" t="s">
        <v>408</v>
      </c>
      <c r="J143" s="13" t="s">
        <v>114</v>
      </c>
      <c r="K143" s="16" t="s">
        <v>89</v>
      </c>
      <c r="L143" s="16" t="s">
        <v>90</v>
      </c>
      <c r="M143" s="64" t="s">
        <v>1213</v>
      </c>
    </row>
    <row r="144" spans="1:13" x14ac:dyDescent="0.25">
      <c r="A144" s="11" t="s">
        <v>392</v>
      </c>
      <c r="B144" s="11" t="s">
        <v>153</v>
      </c>
      <c r="C144" s="12" t="s">
        <v>406</v>
      </c>
      <c r="D144" s="9" t="s">
        <v>407</v>
      </c>
      <c r="E144" s="9">
        <v>34.5</v>
      </c>
      <c r="F144" s="26">
        <v>1.9350000000000001</v>
      </c>
      <c r="G144" s="16" t="s">
        <v>409</v>
      </c>
      <c r="H144" s="27">
        <v>5</v>
      </c>
      <c r="I144" s="13" t="s">
        <v>410</v>
      </c>
      <c r="J144" s="13" t="s">
        <v>88</v>
      </c>
      <c r="K144" s="16" t="s">
        <v>89</v>
      </c>
      <c r="L144" s="16" t="s">
        <v>90</v>
      </c>
      <c r="M144" s="64" t="s">
        <v>1213</v>
      </c>
    </row>
    <row r="145" spans="1:13" x14ac:dyDescent="0.25">
      <c r="A145" s="11" t="s">
        <v>392</v>
      </c>
      <c r="B145" s="11" t="s">
        <v>153</v>
      </c>
      <c r="C145" s="12" t="s">
        <v>411</v>
      </c>
      <c r="D145" s="9" t="s">
        <v>412</v>
      </c>
      <c r="E145" s="9">
        <v>34.5</v>
      </c>
      <c r="F145" s="26">
        <v>1.9800000000000002</v>
      </c>
      <c r="G145" s="16" t="s">
        <v>395</v>
      </c>
      <c r="H145" s="27">
        <v>5</v>
      </c>
      <c r="I145" s="13" t="s">
        <v>413</v>
      </c>
      <c r="J145" s="13" t="s">
        <v>114</v>
      </c>
      <c r="K145" s="16" t="s">
        <v>89</v>
      </c>
      <c r="L145" s="16" t="s">
        <v>90</v>
      </c>
      <c r="M145" s="64" t="s">
        <v>1213</v>
      </c>
    </row>
    <row r="146" spans="1:13" x14ac:dyDescent="0.25">
      <c r="A146" s="11" t="s">
        <v>392</v>
      </c>
      <c r="B146" s="11" t="s">
        <v>153</v>
      </c>
      <c r="C146" s="12" t="s">
        <v>414</v>
      </c>
      <c r="D146" s="9" t="s">
        <v>415</v>
      </c>
      <c r="E146" s="9">
        <v>34.5</v>
      </c>
      <c r="F146" s="26">
        <v>2.6910000000000003</v>
      </c>
      <c r="G146" s="16" t="s">
        <v>395</v>
      </c>
      <c r="H146" s="27">
        <v>10</v>
      </c>
      <c r="I146" s="13" t="s">
        <v>416</v>
      </c>
      <c r="J146" s="13" t="s">
        <v>114</v>
      </c>
      <c r="K146" s="16" t="s">
        <v>89</v>
      </c>
      <c r="L146" s="16" t="s">
        <v>90</v>
      </c>
      <c r="M146" s="64" t="s">
        <v>1213</v>
      </c>
    </row>
    <row r="147" spans="1:13" x14ac:dyDescent="0.25">
      <c r="A147" s="11" t="s">
        <v>392</v>
      </c>
      <c r="B147" s="11" t="s">
        <v>153</v>
      </c>
      <c r="C147" s="12" t="s">
        <v>417</v>
      </c>
      <c r="D147" s="9" t="s">
        <v>418</v>
      </c>
      <c r="E147" s="9">
        <v>34.5</v>
      </c>
      <c r="F147" s="26">
        <v>0</v>
      </c>
      <c r="G147" s="16" t="s">
        <v>395</v>
      </c>
      <c r="H147" s="27">
        <v>10</v>
      </c>
      <c r="I147" s="13" t="s">
        <v>419</v>
      </c>
      <c r="J147" s="13" t="s">
        <v>114</v>
      </c>
      <c r="K147" s="16" t="s">
        <v>109</v>
      </c>
      <c r="L147" s="16" t="s">
        <v>90</v>
      </c>
      <c r="M147" s="64" t="s">
        <v>1213</v>
      </c>
    </row>
    <row r="148" spans="1:13" x14ac:dyDescent="0.25">
      <c r="A148" s="11" t="s">
        <v>392</v>
      </c>
      <c r="B148" s="11" t="s">
        <v>153</v>
      </c>
      <c r="C148" s="12" t="s">
        <v>417</v>
      </c>
      <c r="D148" s="9" t="s">
        <v>418</v>
      </c>
      <c r="E148" s="9">
        <v>34.5</v>
      </c>
      <c r="F148" s="26">
        <v>6.0660000000000007</v>
      </c>
      <c r="G148" s="16" t="s">
        <v>409</v>
      </c>
      <c r="H148" s="27">
        <v>10</v>
      </c>
      <c r="I148" s="13" t="s">
        <v>420</v>
      </c>
      <c r="J148" s="13" t="s">
        <v>88</v>
      </c>
      <c r="K148" s="16" t="s">
        <v>89</v>
      </c>
      <c r="L148" s="16" t="s">
        <v>90</v>
      </c>
      <c r="M148" s="64" t="s">
        <v>1213</v>
      </c>
    </row>
    <row r="149" spans="1:13" x14ac:dyDescent="0.25">
      <c r="A149" s="11" t="s">
        <v>392</v>
      </c>
      <c r="B149" s="11" t="s">
        <v>153</v>
      </c>
      <c r="C149" s="12" t="s">
        <v>421</v>
      </c>
      <c r="D149" s="9" t="s">
        <v>422</v>
      </c>
      <c r="E149" s="9">
        <v>34.5</v>
      </c>
      <c r="F149" s="26">
        <v>5.6340000000000003</v>
      </c>
      <c r="G149" s="16" t="s">
        <v>395</v>
      </c>
      <c r="H149" s="27">
        <v>15</v>
      </c>
      <c r="I149" s="13" t="s">
        <v>423</v>
      </c>
      <c r="J149" s="13" t="s">
        <v>114</v>
      </c>
      <c r="K149" s="16" t="s">
        <v>89</v>
      </c>
      <c r="L149" s="16" t="s">
        <v>90</v>
      </c>
      <c r="M149" s="64" t="s">
        <v>1213</v>
      </c>
    </row>
    <row r="150" spans="1:13" x14ac:dyDescent="0.25">
      <c r="A150" s="11" t="s">
        <v>392</v>
      </c>
      <c r="B150" s="11" t="s">
        <v>153</v>
      </c>
      <c r="C150" s="12" t="s">
        <v>421</v>
      </c>
      <c r="D150" s="9" t="s">
        <v>422</v>
      </c>
      <c r="E150" s="9">
        <v>34.5</v>
      </c>
      <c r="F150" s="26">
        <v>7.38</v>
      </c>
      <c r="G150" s="16" t="s">
        <v>409</v>
      </c>
      <c r="H150" s="27">
        <v>15</v>
      </c>
      <c r="I150" s="13" t="s">
        <v>424</v>
      </c>
      <c r="J150" s="13" t="s">
        <v>114</v>
      </c>
      <c r="K150" s="16" t="s">
        <v>89</v>
      </c>
      <c r="L150" s="16" t="s">
        <v>90</v>
      </c>
      <c r="M150" s="64" t="s">
        <v>1213</v>
      </c>
    </row>
    <row r="151" spans="1:13" x14ac:dyDescent="0.25">
      <c r="A151" s="11" t="s">
        <v>392</v>
      </c>
      <c r="B151" s="11" t="s">
        <v>153</v>
      </c>
      <c r="C151" s="12" t="s">
        <v>425</v>
      </c>
      <c r="D151" s="9" t="s">
        <v>426</v>
      </c>
      <c r="E151" s="9">
        <v>34.5</v>
      </c>
      <c r="F151" s="26">
        <v>3.1589999999999998</v>
      </c>
      <c r="G151" s="16" t="s">
        <v>395</v>
      </c>
      <c r="H151" s="27">
        <v>10</v>
      </c>
      <c r="I151" s="13" t="s">
        <v>427</v>
      </c>
      <c r="J151" s="13" t="s">
        <v>114</v>
      </c>
      <c r="K151" s="16" t="s">
        <v>89</v>
      </c>
      <c r="L151" s="16" t="s">
        <v>90</v>
      </c>
      <c r="M151" s="64" t="s">
        <v>1213</v>
      </c>
    </row>
    <row r="152" spans="1:13" x14ac:dyDescent="0.25">
      <c r="A152" s="11" t="s">
        <v>392</v>
      </c>
      <c r="B152" s="11" t="s">
        <v>153</v>
      </c>
      <c r="C152" s="12" t="s">
        <v>428</v>
      </c>
      <c r="D152" s="9" t="s">
        <v>429</v>
      </c>
      <c r="E152" s="9">
        <v>34.5</v>
      </c>
      <c r="F152" s="26">
        <v>0</v>
      </c>
      <c r="G152" s="16" t="s">
        <v>395</v>
      </c>
      <c r="H152" s="27">
        <v>10</v>
      </c>
      <c r="I152" s="13" t="s">
        <v>430</v>
      </c>
      <c r="J152" s="13" t="s">
        <v>114</v>
      </c>
      <c r="K152" s="16" t="s">
        <v>109</v>
      </c>
      <c r="L152" s="16" t="s">
        <v>90</v>
      </c>
      <c r="M152" s="64" t="s">
        <v>1213</v>
      </c>
    </row>
    <row r="153" spans="1:13" x14ac:dyDescent="0.25">
      <c r="A153" s="11" t="s">
        <v>392</v>
      </c>
      <c r="B153" s="11" t="s">
        <v>153</v>
      </c>
      <c r="C153" s="12" t="s">
        <v>431</v>
      </c>
      <c r="D153" s="9" t="s">
        <v>432</v>
      </c>
      <c r="E153" s="9">
        <v>34.5</v>
      </c>
      <c r="F153" s="26">
        <v>0</v>
      </c>
      <c r="G153" s="16" t="s">
        <v>395</v>
      </c>
      <c r="H153" s="26">
        <v>2.65</v>
      </c>
      <c r="I153" s="13" t="s">
        <v>433</v>
      </c>
      <c r="J153" s="13" t="s">
        <v>88</v>
      </c>
      <c r="K153" s="16" t="s">
        <v>109</v>
      </c>
      <c r="L153" s="16" t="s">
        <v>90</v>
      </c>
      <c r="M153" s="64" t="s">
        <v>1213</v>
      </c>
    </row>
    <row r="154" spans="1:13" x14ac:dyDescent="0.25">
      <c r="A154" s="11" t="s">
        <v>392</v>
      </c>
      <c r="B154" s="11" t="s">
        <v>153</v>
      </c>
      <c r="C154" s="12" t="s">
        <v>434</v>
      </c>
      <c r="D154" s="9" t="s">
        <v>435</v>
      </c>
      <c r="E154" s="9">
        <v>34.5</v>
      </c>
      <c r="F154" s="26">
        <v>1.5660000000000001</v>
      </c>
      <c r="G154" s="16" t="s">
        <v>395</v>
      </c>
      <c r="H154" s="26">
        <v>6.65</v>
      </c>
      <c r="I154" s="13" t="s">
        <v>436</v>
      </c>
      <c r="J154" s="13" t="s">
        <v>114</v>
      </c>
      <c r="K154" s="16" t="s">
        <v>89</v>
      </c>
      <c r="L154" s="16" t="s">
        <v>90</v>
      </c>
      <c r="M154" s="64" t="s">
        <v>1213</v>
      </c>
    </row>
    <row r="155" spans="1:13" x14ac:dyDescent="0.25">
      <c r="A155" s="11" t="s">
        <v>392</v>
      </c>
      <c r="B155" s="11" t="s">
        <v>153</v>
      </c>
      <c r="C155" s="12" t="s">
        <v>437</v>
      </c>
      <c r="D155" s="9" t="s">
        <v>438</v>
      </c>
      <c r="E155" s="9">
        <v>34.5</v>
      </c>
      <c r="F155" s="26">
        <v>2.3220000000000001</v>
      </c>
      <c r="G155" s="16" t="s">
        <v>395</v>
      </c>
      <c r="H155" s="27">
        <v>5</v>
      </c>
      <c r="I155" s="13" t="s">
        <v>439</v>
      </c>
      <c r="J155" s="13" t="s">
        <v>114</v>
      </c>
      <c r="K155" s="16" t="s">
        <v>89</v>
      </c>
      <c r="L155" s="16" t="s">
        <v>90</v>
      </c>
      <c r="M155" s="64" t="s">
        <v>1213</v>
      </c>
    </row>
    <row r="156" spans="1:13" x14ac:dyDescent="0.25">
      <c r="A156" s="11" t="s">
        <v>392</v>
      </c>
      <c r="B156" s="11" t="s">
        <v>153</v>
      </c>
      <c r="C156" s="12" t="s">
        <v>437</v>
      </c>
      <c r="D156" s="9" t="s">
        <v>438</v>
      </c>
      <c r="E156" s="9">
        <v>34.5</v>
      </c>
      <c r="F156" s="26">
        <v>2.1059999999999999</v>
      </c>
      <c r="G156" s="16" t="s">
        <v>409</v>
      </c>
      <c r="H156" s="27">
        <v>5</v>
      </c>
      <c r="I156" s="13" t="s">
        <v>440</v>
      </c>
      <c r="J156" s="13" t="s">
        <v>114</v>
      </c>
      <c r="K156" s="16" t="s">
        <v>89</v>
      </c>
      <c r="L156" s="16" t="s">
        <v>90</v>
      </c>
      <c r="M156" s="64" t="s">
        <v>1213</v>
      </c>
    </row>
    <row r="157" spans="1:13" x14ac:dyDescent="0.25">
      <c r="A157" s="11" t="s">
        <v>392</v>
      </c>
      <c r="B157" s="11" t="s">
        <v>153</v>
      </c>
      <c r="C157" s="12" t="s">
        <v>441</v>
      </c>
      <c r="D157" s="9" t="s">
        <v>442</v>
      </c>
      <c r="E157" s="9">
        <v>34.5</v>
      </c>
      <c r="F157" s="26">
        <v>4.1310000000000002</v>
      </c>
      <c r="G157" s="16" t="s">
        <v>395</v>
      </c>
      <c r="H157" s="27">
        <v>10</v>
      </c>
      <c r="I157" s="13" t="s">
        <v>443</v>
      </c>
      <c r="J157" s="13" t="s">
        <v>114</v>
      </c>
      <c r="K157" s="16" t="s">
        <v>89</v>
      </c>
      <c r="L157" s="16" t="s">
        <v>90</v>
      </c>
      <c r="M157" s="64" t="s">
        <v>1213</v>
      </c>
    </row>
    <row r="158" spans="1:13" x14ac:dyDescent="0.25">
      <c r="A158" s="11" t="s">
        <v>392</v>
      </c>
      <c r="B158" s="11" t="s">
        <v>153</v>
      </c>
      <c r="C158" s="12" t="s">
        <v>441</v>
      </c>
      <c r="D158" s="9" t="s">
        <v>442</v>
      </c>
      <c r="E158" s="9">
        <v>34.5</v>
      </c>
      <c r="F158" s="26">
        <v>4.8869999999999996</v>
      </c>
      <c r="G158" s="16" t="s">
        <v>409</v>
      </c>
      <c r="H158" s="27">
        <v>10</v>
      </c>
      <c r="I158" s="13" t="s">
        <v>444</v>
      </c>
      <c r="J158" s="13" t="s">
        <v>114</v>
      </c>
      <c r="K158" s="16" t="s">
        <v>89</v>
      </c>
      <c r="L158" s="16" t="s">
        <v>90</v>
      </c>
      <c r="M158" s="64" t="s">
        <v>1213</v>
      </c>
    </row>
    <row r="159" spans="1:13" x14ac:dyDescent="0.25">
      <c r="A159" s="11" t="s">
        <v>445</v>
      </c>
      <c r="B159" s="11" t="s">
        <v>142</v>
      </c>
      <c r="C159" s="12" t="s">
        <v>190</v>
      </c>
      <c r="D159" s="9" t="s">
        <v>446</v>
      </c>
      <c r="E159" s="9">
        <v>30</v>
      </c>
      <c r="F159" s="26">
        <v>6.8</v>
      </c>
      <c r="G159" s="16" t="s">
        <v>447</v>
      </c>
      <c r="H159" s="27">
        <v>10.5</v>
      </c>
      <c r="I159" s="13" t="s">
        <v>448</v>
      </c>
      <c r="J159" s="13" t="s">
        <v>114</v>
      </c>
      <c r="K159" s="16" t="s">
        <v>89</v>
      </c>
      <c r="L159" s="16" t="s">
        <v>90</v>
      </c>
      <c r="M159" s="64" t="s">
        <v>1213</v>
      </c>
    </row>
    <row r="160" spans="1:13" x14ac:dyDescent="0.25">
      <c r="A160" s="11" t="s">
        <v>445</v>
      </c>
      <c r="B160" s="11" t="s">
        <v>142</v>
      </c>
      <c r="C160" s="12" t="s">
        <v>190</v>
      </c>
      <c r="D160" s="9" t="s">
        <v>446</v>
      </c>
      <c r="E160" s="9">
        <v>30</v>
      </c>
      <c r="F160" s="26">
        <v>6.8</v>
      </c>
      <c r="G160" s="16" t="s">
        <v>447</v>
      </c>
      <c r="H160" s="27">
        <v>10.5</v>
      </c>
      <c r="I160" s="13" t="s">
        <v>448</v>
      </c>
      <c r="J160" s="13" t="s">
        <v>114</v>
      </c>
      <c r="K160" s="16" t="s">
        <v>89</v>
      </c>
      <c r="L160" s="16" t="s">
        <v>90</v>
      </c>
      <c r="M160" s="64" t="s">
        <v>1213</v>
      </c>
    </row>
    <row r="161" spans="1:13" x14ac:dyDescent="0.25">
      <c r="A161" s="11" t="s">
        <v>445</v>
      </c>
      <c r="B161" s="11" t="s">
        <v>142</v>
      </c>
      <c r="C161" s="12" t="s">
        <v>449</v>
      </c>
      <c r="D161" s="9" t="s">
        <v>450</v>
      </c>
      <c r="E161" s="9">
        <v>30</v>
      </c>
      <c r="F161" s="26">
        <v>10.030000000000001</v>
      </c>
      <c r="G161" s="16" t="s">
        <v>447</v>
      </c>
      <c r="H161" s="27">
        <v>7</v>
      </c>
      <c r="I161" s="13" t="s">
        <v>451</v>
      </c>
      <c r="J161" s="13" t="s">
        <v>114</v>
      </c>
      <c r="K161" s="16" t="s">
        <v>89</v>
      </c>
      <c r="L161" s="16" t="s">
        <v>90</v>
      </c>
      <c r="M161" s="64" t="s">
        <v>1213</v>
      </c>
    </row>
    <row r="162" spans="1:13" x14ac:dyDescent="0.25">
      <c r="A162" s="11" t="s">
        <v>445</v>
      </c>
      <c r="B162" s="11" t="s">
        <v>142</v>
      </c>
      <c r="C162" s="12" t="s">
        <v>449</v>
      </c>
      <c r="D162" s="9" t="s">
        <v>450</v>
      </c>
      <c r="E162" s="9">
        <v>30</v>
      </c>
      <c r="F162" s="26">
        <v>10.030000000000001</v>
      </c>
      <c r="G162" s="16" t="s">
        <v>447</v>
      </c>
      <c r="H162" s="27">
        <v>6.25</v>
      </c>
      <c r="I162" s="13" t="s">
        <v>452</v>
      </c>
      <c r="J162" s="13" t="s">
        <v>114</v>
      </c>
      <c r="K162" s="16" t="s">
        <v>89</v>
      </c>
      <c r="L162" s="16" t="s">
        <v>90</v>
      </c>
      <c r="M162" s="64" t="s">
        <v>1213</v>
      </c>
    </row>
    <row r="163" spans="1:13" x14ac:dyDescent="0.25">
      <c r="A163" s="11" t="s">
        <v>445</v>
      </c>
      <c r="B163" s="11" t="s">
        <v>142</v>
      </c>
      <c r="C163" s="12" t="s">
        <v>449</v>
      </c>
      <c r="D163" s="9" t="s">
        <v>450</v>
      </c>
      <c r="E163" s="9">
        <v>30</v>
      </c>
      <c r="F163" s="26">
        <v>10.030000000000001</v>
      </c>
      <c r="G163" s="16" t="s">
        <v>447</v>
      </c>
      <c r="H163" s="27">
        <v>7</v>
      </c>
      <c r="I163" s="13" t="s">
        <v>451</v>
      </c>
      <c r="J163" s="13" t="s">
        <v>114</v>
      </c>
      <c r="K163" s="16" t="s">
        <v>89</v>
      </c>
      <c r="L163" s="16" t="s">
        <v>90</v>
      </c>
      <c r="M163" s="64" t="s">
        <v>1213</v>
      </c>
    </row>
    <row r="164" spans="1:13" x14ac:dyDescent="0.25">
      <c r="A164" s="11" t="s">
        <v>445</v>
      </c>
      <c r="B164" s="11" t="s">
        <v>142</v>
      </c>
      <c r="C164" s="12" t="s">
        <v>453</v>
      </c>
      <c r="D164" s="9" t="s">
        <v>454</v>
      </c>
      <c r="E164" s="9">
        <v>30</v>
      </c>
      <c r="F164" s="26">
        <v>12.155000000000001</v>
      </c>
      <c r="G164" s="16" t="s">
        <v>447</v>
      </c>
      <c r="H164" s="27">
        <v>7</v>
      </c>
      <c r="I164" s="13" t="s">
        <v>451</v>
      </c>
      <c r="J164" s="13" t="s">
        <v>114</v>
      </c>
      <c r="K164" s="16" t="s">
        <v>89</v>
      </c>
      <c r="L164" s="16" t="s">
        <v>90</v>
      </c>
      <c r="M164" s="64" t="s">
        <v>1213</v>
      </c>
    </row>
    <row r="165" spans="1:13" x14ac:dyDescent="0.25">
      <c r="A165" s="11" t="s">
        <v>445</v>
      </c>
      <c r="B165" s="11" t="s">
        <v>142</v>
      </c>
      <c r="C165" s="12" t="s">
        <v>453</v>
      </c>
      <c r="D165" s="9" t="s">
        <v>454</v>
      </c>
      <c r="E165" s="9">
        <v>30</v>
      </c>
      <c r="F165" s="26">
        <v>12.155000000000001</v>
      </c>
      <c r="G165" s="16" t="s">
        <v>447</v>
      </c>
      <c r="H165" s="27">
        <v>6.25</v>
      </c>
      <c r="I165" s="13" t="s">
        <v>452</v>
      </c>
      <c r="J165" s="13" t="s">
        <v>114</v>
      </c>
      <c r="K165" s="16" t="s">
        <v>89</v>
      </c>
      <c r="L165" s="16" t="s">
        <v>90</v>
      </c>
      <c r="M165" s="64" t="s">
        <v>1213</v>
      </c>
    </row>
    <row r="166" spans="1:13" x14ac:dyDescent="0.25">
      <c r="A166" s="11" t="s">
        <v>445</v>
      </c>
      <c r="B166" s="11" t="s">
        <v>142</v>
      </c>
      <c r="C166" s="12" t="s">
        <v>453</v>
      </c>
      <c r="D166" s="9" t="s">
        <v>454</v>
      </c>
      <c r="E166" s="9">
        <v>30</v>
      </c>
      <c r="F166" s="26">
        <v>12.155000000000001</v>
      </c>
      <c r="G166" s="16" t="s">
        <v>447</v>
      </c>
      <c r="H166" s="27">
        <v>7</v>
      </c>
      <c r="I166" s="13" t="s">
        <v>451</v>
      </c>
      <c r="J166" s="13" t="s">
        <v>114</v>
      </c>
      <c r="K166" s="16" t="s">
        <v>109</v>
      </c>
      <c r="L166" s="16" t="s">
        <v>90</v>
      </c>
      <c r="M166" s="64" t="s">
        <v>1213</v>
      </c>
    </row>
    <row r="167" spans="1:13" x14ac:dyDescent="0.25">
      <c r="A167" s="11" t="s">
        <v>445</v>
      </c>
      <c r="B167" s="11" t="s">
        <v>142</v>
      </c>
      <c r="C167" s="12" t="s">
        <v>455</v>
      </c>
      <c r="D167" s="9" t="s">
        <v>456</v>
      </c>
      <c r="E167" s="9">
        <v>30</v>
      </c>
      <c r="F167" s="26">
        <v>0</v>
      </c>
      <c r="G167" s="16" t="s">
        <v>447</v>
      </c>
      <c r="H167" s="27">
        <v>2.2999999999999998</v>
      </c>
      <c r="I167" s="13" t="s">
        <v>457</v>
      </c>
      <c r="J167" s="13" t="s">
        <v>114</v>
      </c>
      <c r="K167" s="16" t="s">
        <v>109</v>
      </c>
      <c r="L167" s="16" t="s">
        <v>90</v>
      </c>
      <c r="M167" s="64" t="s">
        <v>1213</v>
      </c>
    </row>
    <row r="168" spans="1:13" x14ac:dyDescent="0.25">
      <c r="A168" s="11" t="s">
        <v>445</v>
      </c>
      <c r="B168" s="11" t="s">
        <v>142</v>
      </c>
      <c r="C168" s="12" t="s">
        <v>455</v>
      </c>
      <c r="D168" s="9" t="s">
        <v>456</v>
      </c>
      <c r="E168" s="9">
        <v>30</v>
      </c>
      <c r="F168" s="26">
        <v>0</v>
      </c>
      <c r="G168" s="16" t="s">
        <v>447</v>
      </c>
      <c r="H168" s="27">
        <v>1.1000000000000001</v>
      </c>
      <c r="I168" s="13" t="s">
        <v>457</v>
      </c>
      <c r="J168" s="13" t="s">
        <v>114</v>
      </c>
      <c r="K168" s="16" t="s">
        <v>89</v>
      </c>
      <c r="L168" s="16" t="s">
        <v>90</v>
      </c>
      <c r="M168" s="64" t="s">
        <v>1213</v>
      </c>
    </row>
    <row r="169" spans="1:13" x14ac:dyDescent="0.25">
      <c r="A169" s="11" t="s">
        <v>445</v>
      </c>
      <c r="B169" s="11" t="s">
        <v>142</v>
      </c>
      <c r="C169" s="12" t="s">
        <v>458</v>
      </c>
      <c r="D169" s="9" t="s">
        <v>459</v>
      </c>
      <c r="E169" s="9">
        <v>30</v>
      </c>
      <c r="F169" s="26">
        <v>8.16</v>
      </c>
      <c r="G169" s="16" t="s">
        <v>447</v>
      </c>
      <c r="H169" s="27">
        <v>6.25</v>
      </c>
      <c r="I169" s="13" t="s">
        <v>452</v>
      </c>
      <c r="J169" s="13" t="s">
        <v>114</v>
      </c>
      <c r="K169" s="16" t="s">
        <v>89</v>
      </c>
      <c r="L169" s="16" t="s">
        <v>90</v>
      </c>
      <c r="M169" s="64" t="s">
        <v>1213</v>
      </c>
    </row>
    <row r="170" spans="1:13" x14ac:dyDescent="0.25">
      <c r="A170" s="11" t="s">
        <v>445</v>
      </c>
      <c r="B170" s="11" t="s">
        <v>142</v>
      </c>
      <c r="C170" s="12" t="s">
        <v>458</v>
      </c>
      <c r="D170" s="9" t="s">
        <v>459</v>
      </c>
      <c r="E170" s="9">
        <v>30</v>
      </c>
      <c r="F170" s="26">
        <v>8.16</v>
      </c>
      <c r="G170" s="16" t="s">
        <v>447</v>
      </c>
      <c r="H170" s="27">
        <v>6.25</v>
      </c>
      <c r="I170" s="13" t="s">
        <v>452</v>
      </c>
      <c r="J170" s="13" t="s">
        <v>114</v>
      </c>
      <c r="K170" s="16" t="s">
        <v>89</v>
      </c>
      <c r="L170" s="16" t="s">
        <v>90</v>
      </c>
      <c r="M170" s="64" t="s">
        <v>1213</v>
      </c>
    </row>
    <row r="171" spans="1:13" x14ac:dyDescent="0.25">
      <c r="A171" s="11" t="s">
        <v>445</v>
      </c>
      <c r="B171" s="11" t="s">
        <v>142</v>
      </c>
      <c r="C171" s="12" t="s">
        <v>458</v>
      </c>
      <c r="D171" s="9" t="s">
        <v>459</v>
      </c>
      <c r="E171" s="9">
        <v>30</v>
      </c>
      <c r="F171" s="26">
        <v>8.16</v>
      </c>
      <c r="G171" s="16" t="s">
        <v>447</v>
      </c>
      <c r="H171" s="27">
        <v>6.25</v>
      </c>
      <c r="I171" s="13" t="s">
        <v>452</v>
      </c>
      <c r="J171" s="13" t="s">
        <v>114</v>
      </c>
      <c r="K171" s="16" t="s">
        <v>109</v>
      </c>
      <c r="L171" s="16" t="s">
        <v>90</v>
      </c>
      <c r="M171" s="64" t="s">
        <v>1213</v>
      </c>
    </row>
    <row r="172" spans="1:13" x14ac:dyDescent="0.25">
      <c r="A172" s="11" t="s">
        <v>445</v>
      </c>
      <c r="B172" s="11" t="s">
        <v>142</v>
      </c>
      <c r="C172" s="12" t="s">
        <v>460</v>
      </c>
      <c r="D172" s="9" t="s">
        <v>461</v>
      </c>
      <c r="E172" s="9">
        <v>30</v>
      </c>
      <c r="F172" s="26">
        <v>18.57</v>
      </c>
      <c r="G172" s="16" t="s">
        <v>447</v>
      </c>
      <c r="H172" s="27">
        <v>7</v>
      </c>
      <c r="I172" s="13" t="s">
        <v>451</v>
      </c>
      <c r="J172" s="13" t="s">
        <v>114</v>
      </c>
      <c r="K172" s="16" t="s">
        <v>89</v>
      </c>
      <c r="L172" s="16" t="s">
        <v>90</v>
      </c>
      <c r="M172" s="64" t="s">
        <v>1213</v>
      </c>
    </row>
    <row r="173" spans="1:13" x14ac:dyDescent="0.25">
      <c r="A173" s="11" t="s">
        <v>445</v>
      </c>
      <c r="B173" s="11" t="s">
        <v>142</v>
      </c>
      <c r="C173" s="12" t="s">
        <v>460</v>
      </c>
      <c r="D173" s="9" t="s">
        <v>461</v>
      </c>
      <c r="E173" s="9">
        <v>30</v>
      </c>
      <c r="F173" s="26">
        <v>18.57</v>
      </c>
      <c r="G173" s="16" t="s">
        <v>447</v>
      </c>
      <c r="H173" s="27">
        <v>7</v>
      </c>
      <c r="I173" s="13" t="s">
        <v>451</v>
      </c>
      <c r="J173" s="13" t="s">
        <v>114</v>
      </c>
      <c r="K173" s="16" t="s">
        <v>89</v>
      </c>
      <c r="L173" s="16" t="s">
        <v>90</v>
      </c>
      <c r="M173" s="64" t="s">
        <v>1213</v>
      </c>
    </row>
    <row r="174" spans="1:13" x14ac:dyDescent="0.25">
      <c r="A174" s="11" t="s">
        <v>445</v>
      </c>
      <c r="B174" s="11" t="s">
        <v>142</v>
      </c>
      <c r="C174" s="12" t="s">
        <v>460</v>
      </c>
      <c r="D174" s="9" t="s">
        <v>461</v>
      </c>
      <c r="E174" s="9">
        <v>30</v>
      </c>
      <c r="F174" s="26">
        <v>18.57</v>
      </c>
      <c r="G174" s="16" t="s">
        <v>447</v>
      </c>
      <c r="H174" s="27">
        <v>7</v>
      </c>
      <c r="I174" s="13" t="s">
        <v>451</v>
      </c>
      <c r="J174" s="13" t="s">
        <v>114</v>
      </c>
      <c r="K174" s="16" t="s">
        <v>89</v>
      </c>
      <c r="L174" s="16" t="s">
        <v>90</v>
      </c>
      <c r="M174" s="64" t="s">
        <v>1213</v>
      </c>
    </row>
    <row r="175" spans="1:13" x14ac:dyDescent="0.25">
      <c r="A175" s="11" t="s">
        <v>445</v>
      </c>
      <c r="B175" s="11" t="s">
        <v>142</v>
      </c>
      <c r="C175" s="12" t="s">
        <v>462</v>
      </c>
      <c r="D175" s="9" t="s">
        <v>463</v>
      </c>
      <c r="E175" s="9">
        <v>30</v>
      </c>
      <c r="F175" s="26">
        <v>6.63</v>
      </c>
      <c r="G175" s="16" t="s">
        <v>447</v>
      </c>
      <c r="H175" s="27">
        <v>6.25</v>
      </c>
      <c r="I175" s="13" t="s">
        <v>452</v>
      </c>
      <c r="J175" s="13" t="s">
        <v>114</v>
      </c>
      <c r="K175" s="16" t="s">
        <v>89</v>
      </c>
      <c r="L175" s="16" t="s">
        <v>90</v>
      </c>
      <c r="M175" s="64" t="s">
        <v>1213</v>
      </c>
    </row>
    <row r="176" spans="1:13" x14ac:dyDescent="0.25">
      <c r="A176" s="11" t="s">
        <v>445</v>
      </c>
      <c r="B176" s="11" t="s">
        <v>142</v>
      </c>
      <c r="C176" s="12" t="s">
        <v>462</v>
      </c>
      <c r="D176" s="9" t="s">
        <v>463</v>
      </c>
      <c r="E176" s="9">
        <v>30</v>
      </c>
      <c r="F176" s="26">
        <v>6.63</v>
      </c>
      <c r="G176" s="16" t="s">
        <v>447</v>
      </c>
      <c r="H176" s="27">
        <v>6.25</v>
      </c>
      <c r="I176" s="13" t="s">
        <v>452</v>
      </c>
      <c r="J176" s="13" t="s">
        <v>114</v>
      </c>
      <c r="K176" s="16" t="s">
        <v>89</v>
      </c>
      <c r="L176" s="16" t="s">
        <v>90</v>
      </c>
      <c r="M176" s="64" t="s">
        <v>1213</v>
      </c>
    </row>
    <row r="177" spans="1:13" x14ac:dyDescent="0.25">
      <c r="A177" s="11" t="s">
        <v>445</v>
      </c>
      <c r="B177" s="11" t="s">
        <v>142</v>
      </c>
      <c r="C177" s="12" t="s">
        <v>462</v>
      </c>
      <c r="D177" s="9" t="s">
        <v>463</v>
      </c>
      <c r="E177" s="9">
        <v>30</v>
      </c>
      <c r="F177" s="26">
        <v>6.63</v>
      </c>
      <c r="G177" s="16" t="s">
        <v>447</v>
      </c>
      <c r="H177" s="27">
        <v>7</v>
      </c>
      <c r="I177" s="13" t="s">
        <v>451</v>
      </c>
      <c r="J177" s="13" t="s">
        <v>114</v>
      </c>
      <c r="K177" s="16" t="s">
        <v>89</v>
      </c>
      <c r="L177" s="16" t="s">
        <v>90</v>
      </c>
      <c r="M177" s="64" t="s">
        <v>1213</v>
      </c>
    </row>
    <row r="178" spans="1:13" x14ac:dyDescent="0.25">
      <c r="A178" s="11" t="s">
        <v>445</v>
      </c>
      <c r="B178" s="11" t="s">
        <v>142</v>
      </c>
      <c r="C178" s="12" t="s">
        <v>464</v>
      </c>
      <c r="D178" s="9" t="s">
        <v>465</v>
      </c>
      <c r="E178" s="9">
        <v>30</v>
      </c>
      <c r="F178" s="26">
        <v>4.335</v>
      </c>
      <c r="G178" s="16" t="s">
        <v>447</v>
      </c>
      <c r="H178" s="27">
        <v>3.75</v>
      </c>
      <c r="I178" s="13" t="s">
        <v>466</v>
      </c>
      <c r="J178" s="13" t="s">
        <v>114</v>
      </c>
      <c r="K178" s="16" t="s">
        <v>89</v>
      </c>
      <c r="L178" s="16" t="s">
        <v>90</v>
      </c>
      <c r="M178" s="64" t="s">
        <v>1213</v>
      </c>
    </row>
    <row r="179" spans="1:13" x14ac:dyDescent="0.25">
      <c r="A179" s="11" t="s">
        <v>445</v>
      </c>
      <c r="B179" s="11" t="s">
        <v>142</v>
      </c>
      <c r="C179" s="12" t="s">
        <v>464</v>
      </c>
      <c r="D179" s="9" t="s">
        <v>465</v>
      </c>
      <c r="E179" s="9">
        <v>30</v>
      </c>
      <c r="F179" s="26">
        <v>4.335</v>
      </c>
      <c r="G179" s="16" t="s">
        <v>447</v>
      </c>
      <c r="H179" s="27">
        <v>3.75</v>
      </c>
      <c r="I179" s="13" t="s">
        <v>466</v>
      </c>
      <c r="J179" s="13" t="s">
        <v>114</v>
      </c>
      <c r="K179" s="16" t="s">
        <v>89</v>
      </c>
      <c r="L179" s="16" t="s">
        <v>90</v>
      </c>
      <c r="M179" s="64" t="s">
        <v>1213</v>
      </c>
    </row>
    <row r="180" spans="1:13" x14ac:dyDescent="0.25">
      <c r="A180" s="11" t="s">
        <v>445</v>
      </c>
      <c r="B180" s="11" t="s">
        <v>142</v>
      </c>
      <c r="C180" s="12" t="s">
        <v>464</v>
      </c>
      <c r="D180" s="9" t="s">
        <v>465</v>
      </c>
      <c r="E180" s="9">
        <v>30</v>
      </c>
      <c r="F180" s="26">
        <v>4.335</v>
      </c>
      <c r="G180" s="16" t="s">
        <v>447</v>
      </c>
      <c r="H180" s="27">
        <v>3.75</v>
      </c>
      <c r="I180" s="13" t="s">
        <v>466</v>
      </c>
      <c r="J180" s="13" t="s">
        <v>114</v>
      </c>
      <c r="K180" s="16" t="s">
        <v>89</v>
      </c>
      <c r="L180" s="16" t="s">
        <v>90</v>
      </c>
      <c r="M180" s="64" t="s">
        <v>1213</v>
      </c>
    </row>
    <row r="181" spans="1:13" x14ac:dyDescent="0.25">
      <c r="A181" s="11" t="s">
        <v>445</v>
      </c>
      <c r="B181" s="11" t="s">
        <v>142</v>
      </c>
      <c r="C181" s="12" t="s">
        <v>467</v>
      </c>
      <c r="D181" s="9" t="s">
        <v>468</v>
      </c>
      <c r="E181" s="9">
        <v>30</v>
      </c>
      <c r="F181" s="26">
        <v>9.0949999999999989</v>
      </c>
      <c r="G181" s="16" t="s">
        <v>447</v>
      </c>
      <c r="H181" s="27">
        <v>7</v>
      </c>
      <c r="I181" s="13" t="s">
        <v>451</v>
      </c>
      <c r="J181" s="13" t="s">
        <v>114</v>
      </c>
      <c r="K181" s="16" t="s">
        <v>109</v>
      </c>
      <c r="L181" s="16" t="s">
        <v>90</v>
      </c>
      <c r="M181" s="64" t="s">
        <v>1213</v>
      </c>
    </row>
    <row r="182" spans="1:13" x14ac:dyDescent="0.25">
      <c r="A182" s="11" t="s">
        <v>445</v>
      </c>
      <c r="B182" s="11" t="s">
        <v>142</v>
      </c>
      <c r="C182" s="12" t="s">
        <v>467</v>
      </c>
      <c r="D182" s="9" t="s">
        <v>468</v>
      </c>
      <c r="E182" s="9">
        <v>30</v>
      </c>
      <c r="F182" s="26">
        <v>9.0949999999999989</v>
      </c>
      <c r="G182" s="16" t="s">
        <v>447</v>
      </c>
      <c r="H182" s="27">
        <v>7.5</v>
      </c>
      <c r="I182" s="13" t="s">
        <v>451</v>
      </c>
      <c r="J182" s="13" t="s">
        <v>114</v>
      </c>
      <c r="K182" s="16" t="s">
        <v>89</v>
      </c>
      <c r="L182" s="16" t="s">
        <v>90</v>
      </c>
      <c r="M182" s="64" t="s">
        <v>1213</v>
      </c>
    </row>
    <row r="183" spans="1:13" x14ac:dyDescent="0.25">
      <c r="A183" s="11" t="s">
        <v>445</v>
      </c>
      <c r="B183" s="11" t="s">
        <v>142</v>
      </c>
      <c r="C183" s="12" t="s">
        <v>467</v>
      </c>
      <c r="D183" s="9" t="s">
        <v>468</v>
      </c>
      <c r="E183" s="9">
        <v>30</v>
      </c>
      <c r="F183" s="26">
        <v>9.0949999999999989</v>
      </c>
      <c r="G183" s="16" t="s">
        <v>447</v>
      </c>
      <c r="H183" s="27">
        <v>7</v>
      </c>
      <c r="I183" s="13" t="s">
        <v>451</v>
      </c>
      <c r="J183" s="13" t="s">
        <v>114</v>
      </c>
      <c r="K183" s="16" t="s">
        <v>89</v>
      </c>
      <c r="L183" s="16" t="s">
        <v>90</v>
      </c>
      <c r="M183" s="64" t="s">
        <v>1213</v>
      </c>
    </row>
    <row r="184" spans="1:13" x14ac:dyDescent="0.25">
      <c r="A184" s="11" t="s">
        <v>445</v>
      </c>
      <c r="B184" s="11" t="s">
        <v>142</v>
      </c>
      <c r="C184" s="12" t="s">
        <v>469</v>
      </c>
      <c r="D184" s="9" t="s">
        <v>470</v>
      </c>
      <c r="E184" s="9">
        <v>30</v>
      </c>
      <c r="F184" s="26">
        <v>10.625</v>
      </c>
      <c r="G184" s="16" t="s">
        <v>447</v>
      </c>
      <c r="H184" s="27">
        <v>6.25</v>
      </c>
      <c r="I184" s="13" t="s">
        <v>452</v>
      </c>
      <c r="J184" s="13" t="s">
        <v>114</v>
      </c>
      <c r="K184" s="16" t="s">
        <v>89</v>
      </c>
      <c r="L184" s="16" t="s">
        <v>90</v>
      </c>
      <c r="M184" s="64" t="s">
        <v>1213</v>
      </c>
    </row>
    <row r="185" spans="1:13" x14ac:dyDescent="0.25">
      <c r="A185" s="11" t="s">
        <v>445</v>
      </c>
      <c r="B185" s="11" t="s">
        <v>142</v>
      </c>
      <c r="C185" s="12" t="s">
        <v>469</v>
      </c>
      <c r="D185" s="9" t="s">
        <v>470</v>
      </c>
      <c r="E185" s="9">
        <v>30</v>
      </c>
      <c r="F185" s="26">
        <v>10.625</v>
      </c>
      <c r="G185" s="16" t="s">
        <v>447</v>
      </c>
      <c r="H185" s="27">
        <v>6.25</v>
      </c>
      <c r="I185" s="13" t="s">
        <v>452</v>
      </c>
      <c r="J185" s="13" t="s">
        <v>114</v>
      </c>
      <c r="K185" s="16" t="s">
        <v>89</v>
      </c>
      <c r="L185" s="16" t="s">
        <v>90</v>
      </c>
      <c r="M185" s="64" t="s">
        <v>1213</v>
      </c>
    </row>
    <row r="186" spans="1:13" x14ac:dyDescent="0.25">
      <c r="A186" s="11" t="s">
        <v>445</v>
      </c>
      <c r="B186" s="11" t="s">
        <v>142</v>
      </c>
      <c r="C186" s="12" t="s">
        <v>469</v>
      </c>
      <c r="D186" s="9" t="s">
        <v>470</v>
      </c>
      <c r="E186" s="9">
        <v>30</v>
      </c>
      <c r="F186" s="26">
        <v>10.625</v>
      </c>
      <c r="G186" s="16" t="s">
        <v>447</v>
      </c>
      <c r="H186" s="27">
        <v>6.25</v>
      </c>
      <c r="I186" s="13" t="s">
        <v>452</v>
      </c>
      <c r="J186" s="13" t="s">
        <v>114</v>
      </c>
      <c r="K186" s="16" t="s">
        <v>89</v>
      </c>
      <c r="L186" s="16" t="s">
        <v>90</v>
      </c>
      <c r="M186" s="64" t="s">
        <v>1213</v>
      </c>
    </row>
    <row r="187" spans="1:13" x14ac:dyDescent="0.25">
      <c r="A187" s="11" t="s">
        <v>445</v>
      </c>
      <c r="B187" s="11" t="s">
        <v>142</v>
      </c>
      <c r="C187" s="12" t="s">
        <v>469</v>
      </c>
      <c r="D187" s="9" t="s">
        <v>470</v>
      </c>
      <c r="E187" s="9">
        <v>12.47</v>
      </c>
      <c r="F187" s="26">
        <v>14.05</v>
      </c>
      <c r="G187" s="16" t="s">
        <v>471</v>
      </c>
      <c r="H187" s="27">
        <v>5</v>
      </c>
      <c r="I187" s="13" t="s">
        <v>452</v>
      </c>
      <c r="J187" s="13" t="s">
        <v>114</v>
      </c>
      <c r="K187" s="16" t="s">
        <v>89</v>
      </c>
      <c r="L187" s="16" t="s">
        <v>90</v>
      </c>
      <c r="M187" s="64" t="s">
        <v>1213</v>
      </c>
    </row>
    <row r="188" spans="1:13" x14ac:dyDescent="0.25">
      <c r="A188" s="11" t="s">
        <v>445</v>
      </c>
      <c r="B188" s="11" t="s">
        <v>142</v>
      </c>
      <c r="C188" s="12" t="s">
        <v>472</v>
      </c>
      <c r="D188" s="9" t="s">
        <v>473</v>
      </c>
      <c r="E188" s="9">
        <v>30</v>
      </c>
      <c r="F188" s="26">
        <v>8.4150000000000009</v>
      </c>
      <c r="G188" s="16" t="s">
        <v>447</v>
      </c>
      <c r="H188" s="27">
        <v>10.5</v>
      </c>
      <c r="I188" s="13" t="s">
        <v>448</v>
      </c>
      <c r="J188" s="13" t="s">
        <v>114</v>
      </c>
      <c r="K188" s="16" t="s">
        <v>89</v>
      </c>
      <c r="L188" s="16" t="s">
        <v>90</v>
      </c>
      <c r="M188" s="64" t="s">
        <v>1213</v>
      </c>
    </row>
    <row r="189" spans="1:13" x14ac:dyDescent="0.25">
      <c r="A189" s="11" t="s">
        <v>445</v>
      </c>
      <c r="B189" s="11" t="s">
        <v>142</v>
      </c>
      <c r="C189" s="12" t="s">
        <v>472</v>
      </c>
      <c r="D189" s="9" t="s">
        <v>473</v>
      </c>
      <c r="E189" s="9">
        <v>30</v>
      </c>
      <c r="F189" s="26">
        <v>8.4150000000000009</v>
      </c>
      <c r="G189" s="16" t="s">
        <v>447</v>
      </c>
      <c r="H189" s="27">
        <v>10.5</v>
      </c>
      <c r="I189" s="13" t="s">
        <v>448</v>
      </c>
      <c r="J189" s="13" t="s">
        <v>114</v>
      </c>
      <c r="K189" s="16" t="s">
        <v>109</v>
      </c>
      <c r="L189" s="16" t="s">
        <v>90</v>
      </c>
      <c r="M189" s="64" t="s">
        <v>1213</v>
      </c>
    </row>
    <row r="190" spans="1:13" x14ac:dyDescent="0.25">
      <c r="A190" s="11" t="s">
        <v>445</v>
      </c>
      <c r="B190" s="11" t="s">
        <v>142</v>
      </c>
      <c r="C190" s="12" t="s">
        <v>472</v>
      </c>
      <c r="D190" s="9" t="s">
        <v>473</v>
      </c>
      <c r="E190" s="9">
        <v>30</v>
      </c>
      <c r="F190" s="26">
        <v>8.4150000000000009</v>
      </c>
      <c r="G190" s="16" t="s">
        <v>447</v>
      </c>
      <c r="H190" s="27">
        <v>10.5</v>
      </c>
      <c r="I190" s="13" t="s">
        <v>448</v>
      </c>
      <c r="J190" s="13" t="s">
        <v>114</v>
      </c>
      <c r="K190" s="16" t="s">
        <v>89</v>
      </c>
      <c r="L190" s="16" t="s">
        <v>90</v>
      </c>
      <c r="M190" s="64" t="s">
        <v>1213</v>
      </c>
    </row>
    <row r="191" spans="1:13" x14ac:dyDescent="0.25">
      <c r="A191" s="11" t="s">
        <v>445</v>
      </c>
      <c r="B191" s="11" t="s">
        <v>142</v>
      </c>
      <c r="C191" s="12" t="s">
        <v>474</v>
      </c>
      <c r="D191" s="9" t="s">
        <v>475</v>
      </c>
      <c r="E191" s="9">
        <v>30</v>
      </c>
      <c r="F191" s="26">
        <v>5.27</v>
      </c>
      <c r="G191" s="16" t="s">
        <v>447</v>
      </c>
      <c r="H191" s="27">
        <v>6.67</v>
      </c>
      <c r="I191" s="13" t="s">
        <v>451</v>
      </c>
      <c r="J191" s="13" t="s">
        <v>114</v>
      </c>
      <c r="K191" s="16" t="s">
        <v>89</v>
      </c>
      <c r="L191" s="16" t="s">
        <v>90</v>
      </c>
      <c r="M191" s="64" t="s">
        <v>1213</v>
      </c>
    </row>
    <row r="192" spans="1:13" x14ac:dyDescent="0.25">
      <c r="A192" s="11" t="s">
        <v>445</v>
      </c>
      <c r="B192" s="11" t="s">
        <v>142</v>
      </c>
      <c r="C192" s="12" t="s">
        <v>474</v>
      </c>
      <c r="D192" s="9" t="s">
        <v>475</v>
      </c>
      <c r="E192" s="9">
        <v>30</v>
      </c>
      <c r="F192" s="26">
        <v>5.27</v>
      </c>
      <c r="G192" s="16" t="s">
        <v>447</v>
      </c>
      <c r="H192" s="27">
        <v>6.67</v>
      </c>
      <c r="I192" s="13" t="s">
        <v>451</v>
      </c>
      <c r="J192" s="13" t="s">
        <v>114</v>
      </c>
      <c r="K192" s="16" t="s">
        <v>109</v>
      </c>
      <c r="L192" s="16" t="s">
        <v>90</v>
      </c>
      <c r="M192" s="64" t="s">
        <v>1213</v>
      </c>
    </row>
    <row r="193" spans="1:13" x14ac:dyDescent="0.25">
      <c r="A193" s="11" t="s">
        <v>445</v>
      </c>
      <c r="B193" s="11" t="s">
        <v>142</v>
      </c>
      <c r="C193" s="12" t="s">
        <v>474</v>
      </c>
      <c r="D193" s="9" t="s">
        <v>475</v>
      </c>
      <c r="E193" s="9">
        <v>30</v>
      </c>
      <c r="F193" s="26">
        <v>5.27</v>
      </c>
      <c r="G193" s="16" t="s">
        <v>447</v>
      </c>
      <c r="H193" s="27">
        <v>6.25</v>
      </c>
      <c r="I193" s="13" t="s">
        <v>452</v>
      </c>
      <c r="J193" s="13" t="s">
        <v>114</v>
      </c>
      <c r="K193" s="16" t="s">
        <v>89</v>
      </c>
      <c r="L193" s="16" t="s">
        <v>90</v>
      </c>
      <c r="M193" s="64" t="s">
        <v>1213</v>
      </c>
    </row>
    <row r="194" spans="1:13" x14ac:dyDescent="0.25">
      <c r="A194" s="11" t="s">
        <v>445</v>
      </c>
      <c r="B194" s="11" t="s">
        <v>142</v>
      </c>
      <c r="C194" s="12" t="s">
        <v>476</v>
      </c>
      <c r="D194" s="9" t="s">
        <v>477</v>
      </c>
      <c r="E194" s="9">
        <v>30</v>
      </c>
      <c r="F194" s="26">
        <v>13.09</v>
      </c>
      <c r="G194" s="16" t="s">
        <v>447</v>
      </c>
      <c r="H194" s="27">
        <v>6.25</v>
      </c>
      <c r="I194" s="13" t="s">
        <v>452</v>
      </c>
      <c r="J194" s="13" t="s">
        <v>114</v>
      </c>
      <c r="K194" s="16" t="s">
        <v>89</v>
      </c>
      <c r="L194" s="16" t="s">
        <v>90</v>
      </c>
      <c r="M194" s="64" t="s">
        <v>1213</v>
      </c>
    </row>
    <row r="195" spans="1:13" x14ac:dyDescent="0.25">
      <c r="A195" s="11" t="s">
        <v>445</v>
      </c>
      <c r="B195" s="11" t="s">
        <v>142</v>
      </c>
      <c r="C195" s="12" t="s">
        <v>476</v>
      </c>
      <c r="D195" s="9" t="s">
        <v>477</v>
      </c>
      <c r="E195" s="9">
        <v>30</v>
      </c>
      <c r="F195" s="26">
        <v>13.09</v>
      </c>
      <c r="G195" s="16" t="s">
        <v>447</v>
      </c>
      <c r="H195" s="27">
        <v>6.25</v>
      </c>
      <c r="I195" s="13" t="s">
        <v>452</v>
      </c>
      <c r="J195" s="13" t="s">
        <v>114</v>
      </c>
      <c r="K195" s="16" t="s">
        <v>89</v>
      </c>
      <c r="L195" s="16" t="s">
        <v>90</v>
      </c>
      <c r="M195" s="64" t="s">
        <v>1213</v>
      </c>
    </row>
    <row r="196" spans="1:13" x14ac:dyDescent="0.25">
      <c r="A196" s="11" t="s">
        <v>445</v>
      </c>
      <c r="B196" s="11" t="s">
        <v>142</v>
      </c>
      <c r="C196" s="12" t="s">
        <v>476</v>
      </c>
      <c r="D196" s="9" t="s">
        <v>477</v>
      </c>
      <c r="E196" s="9">
        <v>30</v>
      </c>
      <c r="F196" s="26">
        <v>13.09</v>
      </c>
      <c r="G196" s="16" t="s">
        <v>447</v>
      </c>
      <c r="H196" s="27">
        <v>7</v>
      </c>
      <c r="I196" s="13" t="s">
        <v>451</v>
      </c>
      <c r="J196" s="13" t="s">
        <v>114</v>
      </c>
      <c r="K196" s="16" t="s">
        <v>89</v>
      </c>
      <c r="L196" s="16" t="s">
        <v>90</v>
      </c>
      <c r="M196" s="64" t="s">
        <v>1213</v>
      </c>
    </row>
    <row r="197" spans="1:13" x14ac:dyDescent="0.25">
      <c r="A197" s="11" t="s">
        <v>445</v>
      </c>
      <c r="B197" s="11" t="s">
        <v>142</v>
      </c>
      <c r="C197" s="12" t="s">
        <v>478</v>
      </c>
      <c r="D197" s="9" t="s">
        <v>479</v>
      </c>
      <c r="E197" s="9">
        <v>30</v>
      </c>
      <c r="F197" s="26">
        <v>8.16</v>
      </c>
      <c r="G197" s="16" t="s">
        <v>447</v>
      </c>
      <c r="H197" s="27">
        <v>3.65</v>
      </c>
      <c r="I197" s="13" t="s">
        <v>466</v>
      </c>
      <c r="J197" s="13" t="s">
        <v>114</v>
      </c>
      <c r="K197" s="16" t="s">
        <v>89</v>
      </c>
      <c r="L197" s="16" t="s">
        <v>90</v>
      </c>
      <c r="M197" s="64" t="s">
        <v>1213</v>
      </c>
    </row>
    <row r="198" spans="1:13" x14ac:dyDescent="0.25">
      <c r="A198" s="11" t="s">
        <v>445</v>
      </c>
      <c r="B198" s="11" t="s">
        <v>142</v>
      </c>
      <c r="C198" s="12" t="s">
        <v>478</v>
      </c>
      <c r="D198" s="9" t="s">
        <v>479</v>
      </c>
      <c r="E198" s="9">
        <v>30</v>
      </c>
      <c r="F198" s="26">
        <v>8.16</v>
      </c>
      <c r="G198" s="16" t="s">
        <v>447</v>
      </c>
      <c r="H198" s="27">
        <v>3.75</v>
      </c>
      <c r="I198" s="13" t="s">
        <v>466</v>
      </c>
      <c r="J198" s="13" t="s">
        <v>114</v>
      </c>
      <c r="K198" s="16" t="s">
        <v>109</v>
      </c>
      <c r="L198" s="16" t="s">
        <v>90</v>
      </c>
      <c r="M198" s="64" t="s">
        <v>1213</v>
      </c>
    </row>
    <row r="199" spans="1:13" x14ac:dyDescent="0.25">
      <c r="A199" s="11" t="s">
        <v>445</v>
      </c>
      <c r="B199" s="11" t="s">
        <v>142</v>
      </c>
      <c r="C199" s="12" t="s">
        <v>478</v>
      </c>
      <c r="D199" s="9" t="s">
        <v>479</v>
      </c>
      <c r="E199" s="9">
        <v>30</v>
      </c>
      <c r="F199" s="26">
        <v>8.16</v>
      </c>
      <c r="G199" s="16" t="s">
        <v>447</v>
      </c>
      <c r="H199" s="27">
        <v>4.68</v>
      </c>
      <c r="I199" s="13" t="s">
        <v>452</v>
      </c>
      <c r="J199" s="13" t="s">
        <v>114</v>
      </c>
      <c r="K199" s="16" t="s">
        <v>109</v>
      </c>
      <c r="L199" s="16" t="s">
        <v>90</v>
      </c>
      <c r="M199" s="64" t="s">
        <v>1213</v>
      </c>
    </row>
    <row r="200" spans="1:13" x14ac:dyDescent="0.25">
      <c r="A200" s="11" t="s">
        <v>445</v>
      </c>
      <c r="B200" s="11" t="s">
        <v>142</v>
      </c>
      <c r="C200" s="12" t="s">
        <v>478</v>
      </c>
      <c r="D200" s="9" t="s">
        <v>479</v>
      </c>
      <c r="E200" s="9">
        <v>30</v>
      </c>
      <c r="F200" s="26">
        <v>8.16</v>
      </c>
      <c r="G200" s="16" t="s">
        <v>447</v>
      </c>
      <c r="H200" s="27">
        <v>3.65</v>
      </c>
      <c r="I200" s="13" t="s">
        <v>466</v>
      </c>
      <c r="J200" s="13" t="s">
        <v>114</v>
      </c>
      <c r="K200" s="16" t="s">
        <v>89</v>
      </c>
      <c r="L200" s="16" t="s">
        <v>90</v>
      </c>
      <c r="M200" s="64" t="s">
        <v>1213</v>
      </c>
    </row>
    <row r="201" spans="1:13" x14ac:dyDescent="0.25">
      <c r="A201" s="11" t="s">
        <v>445</v>
      </c>
      <c r="B201" s="11" t="s">
        <v>142</v>
      </c>
      <c r="C201" s="12" t="s">
        <v>480</v>
      </c>
      <c r="D201" s="9" t="s">
        <v>481</v>
      </c>
      <c r="E201" s="9">
        <v>30</v>
      </c>
      <c r="F201" s="26">
        <v>7.6499999999999995</v>
      </c>
      <c r="G201" s="16" t="s">
        <v>447</v>
      </c>
      <c r="H201" s="27">
        <v>3.75</v>
      </c>
      <c r="I201" s="13" t="s">
        <v>466</v>
      </c>
      <c r="J201" s="13" t="s">
        <v>114</v>
      </c>
      <c r="K201" s="16" t="s">
        <v>89</v>
      </c>
      <c r="L201" s="16" t="s">
        <v>90</v>
      </c>
      <c r="M201" s="64" t="s">
        <v>1213</v>
      </c>
    </row>
    <row r="202" spans="1:13" x14ac:dyDescent="0.25">
      <c r="A202" s="11" t="s">
        <v>445</v>
      </c>
      <c r="B202" s="11" t="s">
        <v>142</v>
      </c>
      <c r="C202" s="12" t="s">
        <v>480</v>
      </c>
      <c r="D202" s="9" t="s">
        <v>481</v>
      </c>
      <c r="E202" s="9">
        <v>30</v>
      </c>
      <c r="F202" s="26">
        <v>7.6499999999999995</v>
      </c>
      <c r="G202" s="16" t="s">
        <v>447</v>
      </c>
      <c r="H202" s="27">
        <v>3.75</v>
      </c>
      <c r="I202" s="13" t="s">
        <v>466</v>
      </c>
      <c r="J202" s="13" t="s">
        <v>114</v>
      </c>
      <c r="K202" s="16" t="s">
        <v>89</v>
      </c>
      <c r="L202" s="16" t="s">
        <v>90</v>
      </c>
      <c r="M202" s="64" t="s">
        <v>1213</v>
      </c>
    </row>
    <row r="203" spans="1:13" x14ac:dyDescent="0.25">
      <c r="A203" s="11" t="s">
        <v>445</v>
      </c>
      <c r="B203" s="11" t="s">
        <v>142</v>
      </c>
      <c r="C203" s="12" t="s">
        <v>480</v>
      </c>
      <c r="D203" s="9" t="s">
        <v>481</v>
      </c>
      <c r="E203" s="9">
        <v>30</v>
      </c>
      <c r="F203" s="26">
        <v>7.6499999999999995</v>
      </c>
      <c r="G203" s="16" t="s">
        <v>447</v>
      </c>
      <c r="H203" s="27">
        <v>3.75</v>
      </c>
      <c r="I203" s="13" t="s">
        <v>466</v>
      </c>
      <c r="J203" s="13" t="s">
        <v>114</v>
      </c>
      <c r="K203" s="16" t="s">
        <v>109</v>
      </c>
      <c r="L203" s="16" t="s">
        <v>90</v>
      </c>
      <c r="M203" s="64" t="s">
        <v>1213</v>
      </c>
    </row>
    <row r="204" spans="1:13" x14ac:dyDescent="0.25">
      <c r="A204" s="11" t="s">
        <v>445</v>
      </c>
      <c r="B204" s="11" t="s">
        <v>142</v>
      </c>
      <c r="C204" s="12" t="s">
        <v>480</v>
      </c>
      <c r="D204" s="9" t="s">
        <v>481</v>
      </c>
      <c r="E204" s="9">
        <v>30</v>
      </c>
      <c r="F204" s="26">
        <v>7.6499999999999995</v>
      </c>
      <c r="G204" s="16" t="s">
        <v>447</v>
      </c>
      <c r="H204" s="27">
        <v>3.65</v>
      </c>
      <c r="I204" s="13" t="s">
        <v>466</v>
      </c>
      <c r="J204" s="13" t="s">
        <v>114</v>
      </c>
      <c r="K204" s="16" t="s">
        <v>89</v>
      </c>
      <c r="L204" s="16" t="s">
        <v>90</v>
      </c>
      <c r="M204" s="64" t="s">
        <v>1213</v>
      </c>
    </row>
    <row r="205" spans="1:13" x14ac:dyDescent="0.25">
      <c r="A205" s="11" t="s">
        <v>445</v>
      </c>
      <c r="B205" s="11" t="s">
        <v>142</v>
      </c>
      <c r="C205" s="12" t="s">
        <v>482</v>
      </c>
      <c r="D205" s="9" t="s">
        <v>483</v>
      </c>
      <c r="E205" s="9">
        <v>30</v>
      </c>
      <c r="F205" s="26">
        <v>8.81</v>
      </c>
      <c r="G205" s="16" t="s">
        <v>447</v>
      </c>
      <c r="H205" s="27">
        <v>7</v>
      </c>
      <c r="I205" s="13" t="s">
        <v>451</v>
      </c>
      <c r="J205" s="13" t="s">
        <v>114</v>
      </c>
      <c r="K205" s="16" t="s">
        <v>89</v>
      </c>
      <c r="L205" s="16" t="s">
        <v>90</v>
      </c>
      <c r="M205" s="64" t="s">
        <v>1213</v>
      </c>
    </row>
    <row r="206" spans="1:13" x14ac:dyDescent="0.25">
      <c r="A206" s="11" t="s">
        <v>445</v>
      </c>
      <c r="B206" s="11" t="s">
        <v>142</v>
      </c>
      <c r="C206" s="12" t="s">
        <v>482</v>
      </c>
      <c r="D206" s="9" t="s">
        <v>483</v>
      </c>
      <c r="E206" s="9">
        <v>30</v>
      </c>
      <c r="F206" s="26">
        <v>8.81</v>
      </c>
      <c r="G206" s="16" t="s">
        <v>447</v>
      </c>
      <c r="H206" s="27">
        <v>7</v>
      </c>
      <c r="I206" s="13" t="s">
        <v>451</v>
      </c>
      <c r="J206" s="13" t="s">
        <v>114</v>
      </c>
      <c r="K206" s="16" t="s">
        <v>89</v>
      </c>
      <c r="L206" s="16" t="s">
        <v>90</v>
      </c>
      <c r="M206" s="64" t="s">
        <v>1213</v>
      </c>
    </row>
    <row r="207" spans="1:13" x14ac:dyDescent="0.25">
      <c r="A207" s="11" t="s">
        <v>445</v>
      </c>
      <c r="B207" s="11" t="s">
        <v>142</v>
      </c>
      <c r="C207" s="12" t="s">
        <v>482</v>
      </c>
      <c r="D207" s="9" t="s">
        <v>483</v>
      </c>
      <c r="E207" s="9">
        <v>30</v>
      </c>
      <c r="F207" s="26">
        <v>8.81</v>
      </c>
      <c r="G207" s="16" t="s">
        <v>447</v>
      </c>
      <c r="H207" s="27">
        <v>6.25</v>
      </c>
      <c r="I207" s="13" t="s">
        <v>452</v>
      </c>
      <c r="J207" s="13" t="s">
        <v>114</v>
      </c>
      <c r="K207" s="16" t="s">
        <v>89</v>
      </c>
      <c r="L207" s="16" t="s">
        <v>90</v>
      </c>
      <c r="M207" s="64" t="s">
        <v>1213</v>
      </c>
    </row>
    <row r="208" spans="1:13" x14ac:dyDescent="0.25">
      <c r="A208" s="11" t="s">
        <v>445</v>
      </c>
      <c r="B208" s="11" t="s">
        <v>142</v>
      </c>
      <c r="C208" s="12" t="s">
        <v>484</v>
      </c>
      <c r="D208" s="9" t="s">
        <v>485</v>
      </c>
      <c r="E208" s="9">
        <v>30</v>
      </c>
      <c r="F208" s="26">
        <v>14.45</v>
      </c>
      <c r="G208" s="16" t="s">
        <v>447</v>
      </c>
      <c r="H208" s="27">
        <v>10.5</v>
      </c>
      <c r="I208" s="13" t="s">
        <v>448</v>
      </c>
      <c r="J208" s="13" t="s">
        <v>114</v>
      </c>
      <c r="K208" s="16" t="s">
        <v>109</v>
      </c>
      <c r="L208" s="16" t="s">
        <v>90</v>
      </c>
      <c r="M208" s="64" t="s">
        <v>1213</v>
      </c>
    </row>
    <row r="209" spans="1:13" x14ac:dyDescent="0.25">
      <c r="A209" s="11" t="s">
        <v>445</v>
      </c>
      <c r="B209" s="11" t="s">
        <v>142</v>
      </c>
      <c r="C209" s="12" t="s">
        <v>484</v>
      </c>
      <c r="D209" s="9" t="s">
        <v>485</v>
      </c>
      <c r="E209" s="9">
        <v>30</v>
      </c>
      <c r="F209" s="26">
        <v>14.45</v>
      </c>
      <c r="G209" s="16" t="s">
        <v>447</v>
      </c>
      <c r="H209" s="27">
        <v>10.5</v>
      </c>
      <c r="I209" s="13" t="s">
        <v>448</v>
      </c>
      <c r="J209" s="13" t="s">
        <v>114</v>
      </c>
      <c r="K209" s="16" t="s">
        <v>89</v>
      </c>
      <c r="L209" s="16" t="s">
        <v>90</v>
      </c>
      <c r="M209" s="64" t="s">
        <v>1213</v>
      </c>
    </row>
    <row r="210" spans="1:13" x14ac:dyDescent="0.25">
      <c r="A210" s="11" t="s">
        <v>445</v>
      </c>
      <c r="B210" s="11" t="s">
        <v>142</v>
      </c>
      <c r="C210" s="12" t="s">
        <v>484</v>
      </c>
      <c r="D210" s="9" t="s">
        <v>485</v>
      </c>
      <c r="E210" s="9">
        <v>30</v>
      </c>
      <c r="F210" s="26">
        <v>14.45</v>
      </c>
      <c r="G210" s="16" t="s">
        <v>447</v>
      </c>
      <c r="H210" s="27">
        <v>10.5</v>
      </c>
      <c r="I210" s="13" t="s">
        <v>448</v>
      </c>
      <c r="J210" s="13" t="s">
        <v>114</v>
      </c>
      <c r="K210" s="16" t="s">
        <v>89</v>
      </c>
      <c r="L210" s="16" t="s">
        <v>90</v>
      </c>
      <c r="M210" s="64" t="s">
        <v>1213</v>
      </c>
    </row>
    <row r="211" spans="1:13" x14ac:dyDescent="0.25">
      <c r="A211" s="11" t="s">
        <v>445</v>
      </c>
      <c r="B211" s="11" t="s">
        <v>142</v>
      </c>
      <c r="C211" s="12" t="s">
        <v>484</v>
      </c>
      <c r="D211" s="9" t="s">
        <v>485</v>
      </c>
      <c r="E211" s="9">
        <v>30</v>
      </c>
      <c r="F211" s="26">
        <v>14.45</v>
      </c>
      <c r="G211" s="16" t="s">
        <v>447</v>
      </c>
      <c r="H211" s="27">
        <v>10.5</v>
      </c>
      <c r="I211" s="13" t="s">
        <v>448</v>
      </c>
      <c r="J211" s="13" t="s">
        <v>114</v>
      </c>
      <c r="K211" s="16" t="s">
        <v>89</v>
      </c>
      <c r="L211" s="16" t="s">
        <v>90</v>
      </c>
      <c r="M211" s="64" t="s">
        <v>1213</v>
      </c>
    </row>
    <row r="212" spans="1:13" x14ac:dyDescent="0.25">
      <c r="A212" s="11" t="s">
        <v>445</v>
      </c>
      <c r="B212" s="11" t="s">
        <v>142</v>
      </c>
      <c r="C212" s="12" t="s">
        <v>486</v>
      </c>
      <c r="D212" s="9" t="s">
        <v>487</v>
      </c>
      <c r="E212" s="9">
        <v>30</v>
      </c>
      <c r="F212" s="26">
        <v>12.56</v>
      </c>
      <c r="G212" s="16" t="s">
        <v>447</v>
      </c>
      <c r="H212" s="27">
        <v>7</v>
      </c>
      <c r="I212" s="13" t="s">
        <v>451</v>
      </c>
      <c r="J212" s="13" t="s">
        <v>114</v>
      </c>
      <c r="K212" s="16" t="s">
        <v>109</v>
      </c>
      <c r="L212" s="16" t="s">
        <v>90</v>
      </c>
      <c r="M212" s="64" t="s">
        <v>1213</v>
      </c>
    </row>
    <row r="213" spans="1:13" x14ac:dyDescent="0.25">
      <c r="A213" s="11" t="s">
        <v>445</v>
      </c>
      <c r="B213" s="11" t="s">
        <v>142</v>
      </c>
      <c r="C213" s="12" t="s">
        <v>486</v>
      </c>
      <c r="D213" s="9" t="s">
        <v>487</v>
      </c>
      <c r="E213" s="9">
        <v>30</v>
      </c>
      <c r="F213" s="26">
        <v>12.56</v>
      </c>
      <c r="G213" s="16" t="s">
        <v>447</v>
      </c>
      <c r="H213" s="27">
        <v>7</v>
      </c>
      <c r="I213" s="13" t="s">
        <v>451</v>
      </c>
      <c r="J213" s="13" t="s">
        <v>114</v>
      </c>
      <c r="K213" s="16" t="s">
        <v>89</v>
      </c>
      <c r="L213" s="16" t="s">
        <v>90</v>
      </c>
      <c r="M213" s="64" t="s">
        <v>1213</v>
      </c>
    </row>
    <row r="214" spans="1:13" x14ac:dyDescent="0.25">
      <c r="A214" s="11" t="s">
        <v>445</v>
      </c>
      <c r="B214" s="11" t="s">
        <v>142</v>
      </c>
      <c r="C214" s="12" t="s">
        <v>486</v>
      </c>
      <c r="D214" s="9" t="s">
        <v>487</v>
      </c>
      <c r="E214" s="9">
        <v>30</v>
      </c>
      <c r="F214" s="26">
        <v>12.56</v>
      </c>
      <c r="G214" s="16" t="s">
        <v>447</v>
      </c>
      <c r="H214" s="27">
        <v>7</v>
      </c>
      <c r="I214" s="13" t="s">
        <v>451</v>
      </c>
      <c r="J214" s="13" t="s">
        <v>114</v>
      </c>
      <c r="K214" s="16" t="s">
        <v>89</v>
      </c>
      <c r="L214" s="16" t="s">
        <v>90</v>
      </c>
      <c r="M214" s="64" t="s">
        <v>1213</v>
      </c>
    </row>
    <row r="215" spans="1:13" x14ac:dyDescent="0.25">
      <c r="A215" s="11" t="s">
        <v>445</v>
      </c>
      <c r="B215" s="11" t="s">
        <v>142</v>
      </c>
      <c r="C215" s="12" t="s">
        <v>488</v>
      </c>
      <c r="D215" s="9" t="s">
        <v>489</v>
      </c>
      <c r="E215" s="9">
        <v>30</v>
      </c>
      <c r="F215" s="26">
        <v>6.8</v>
      </c>
      <c r="G215" s="16" t="s">
        <v>447</v>
      </c>
      <c r="H215" s="27">
        <v>3.75</v>
      </c>
      <c r="I215" s="13" t="s">
        <v>466</v>
      </c>
      <c r="J215" s="13" t="s">
        <v>114</v>
      </c>
      <c r="K215" s="16" t="s">
        <v>89</v>
      </c>
      <c r="L215" s="16" t="s">
        <v>90</v>
      </c>
      <c r="M215" s="64" t="s">
        <v>1213</v>
      </c>
    </row>
    <row r="216" spans="1:13" x14ac:dyDescent="0.25">
      <c r="A216" s="11" t="s">
        <v>445</v>
      </c>
      <c r="B216" s="11" t="s">
        <v>142</v>
      </c>
      <c r="C216" s="12" t="s">
        <v>488</v>
      </c>
      <c r="D216" s="9" t="s">
        <v>489</v>
      </c>
      <c r="E216" s="9">
        <v>30</v>
      </c>
      <c r="F216" s="26">
        <v>6.8</v>
      </c>
      <c r="G216" s="16" t="s">
        <v>447</v>
      </c>
      <c r="H216" s="27">
        <v>3.9159999999999999</v>
      </c>
      <c r="I216" s="13" t="s">
        <v>466</v>
      </c>
      <c r="J216" s="13" t="s">
        <v>114</v>
      </c>
      <c r="K216" s="16" t="s">
        <v>89</v>
      </c>
      <c r="L216" s="16" t="s">
        <v>90</v>
      </c>
      <c r="M216" s="64" t="s">
        <v>1213</v>
      </c>
    </row>
    <row r="217" spans="1:13" x14ac:dyDescent="0.25">
      <c r="A217" s="11" t="s">
        <v>445</v>
      </c>
      <c r="B217" s="11" t="s">
        <v>142</v>
      </c>
      <c r="C217" s="12" t="s">
        <v>490</v>
      </c>
      <c r="D217" s="9" t="s">
        <v>491</v>
      </c>
      <c r="E217" s="9">
        <v>30</v>
      </c>
      <c r="F217" s="26">
        <v>11.61</v>
      </c>
      <c r="G217" s="16" t="s">
        <v>447</v>
      </c>
      <c r="H217" s="27">
        <v>6.25</v>
      </c>
      <c r="I217" s="13" t="s">
        <v>452</v>
      </c>
      <c r="J217" s="13" t="s">
        <v>114</v>
      </c>
      <c r="K217" s="16" t="s">
        <v>109</v>
      </c>
      <c r="L217" s="16" t="s">
        <v>90</v>
      </c>
      <c r="M217" s="64" t="s">
        <v>1213</v>
      </c>
    </row>
    <row r="218" spans="1:13" x14ac:dyDescent="0.25">
      <c r="A218" s="11" t="s">
        <v>445</v>
      </c>
      <c r="B218" s="11" t="s">
        <v>142</v>
      </c>
      <c r="C218" s="12" t="s">
        <v>490</v>
      </c>
      <c r="D218" s="9" t="s">
        <v>491</v>
      </c>
      <c r="E218" s="9">
        <v>30</v>
      </c>
      <c r="F218" s="26">
        <v>11.61</v>
      </c>
      <c r="G218" s="16" t="s">
        <v>447</v>
      </c>
      <c r="H218" s="27">
        <v>6.25</v>
      </c>
      <c r="I218" s="13" t="s">
        <v>452</v>
      </c>
      <c r="J218" s="13" t="s">
        <v>114</v>
      </c>
      <c r="K218" s="16" t="s">
        <v>89</v>
      </c>
      <c r="L218" s="16" t="s">
        <v>90</v>
      </c>
      <c r="M218" s="64" t="s">
        <v>1213</v>
      </c>
    </row>
    <row r="219" spans="1:13" x14ac:dyDescent="0.25">
      <c r="A219" s="11" t="s">
        <v>445</v>
      </c>
      <c r="B219" s="11" t="s">
        <v>142</v>
      </c>
      <c r="C219" s="12" t="s">
        <v>490</v>
      </c>
      <c r="D219" s="9" t="s">
        <v>491</v>
      </c>
      <c r="E219" s="9">
        <v>30</v>
      </c>
      <c r="F219" s="26">
        <v>11.61</v>
      </c>
      <c r="G219" s="16" t="s">
        <v>447</v>
      </c>
      <c r="H219" s="27">
        <v>7</v>
      </c>
      <c r="I219" s="13" t="s">
        <v>451</v>
      </c>
      <c r="J219" s="13" t="s">
        <v>114</v>
      </c>
      <c r="K219" s="16" t="s">
        <v>89</v>
      </c>
      <c r="L219" s="16" t="s">
        <v>90</v>
      </c>
      <c r="M219" s="64" t="s">
        <v>1213</v>
      </c>
    </row>
    <row r="220" spans="1:13" x14ac:dyDescent="0.25">
      <c r="A220" s="11" t="s">
        <v>445</v>
      </c>
      <c r="B220" s="11" t="s">
        <v>142</v>
      </c>
      <c r="C220" s="12" t="s">
        <v>235</v>
      </c>
      <c r="D220" s="9" t="s">
        <v>492</v>
      </c>
      <c r="E220" s="9">
        <v>30</v>
      </c>
      <c r="F220" s="26">
        <v>17.600000000000001</v>
      </c>
      <c r="G220" s="16" t="s">
        <v>447</v>
      </c>
      <c r="H220" s="27">
        <v>7</v>
      </c>
      <c r="I220" s="13" t="s">
        <v>451</v>
      </c>
      <c r="J220" s="13" t="s">
        <v>114</v>
      </c>
      <c r="K220" s="16" t="s">
        <v>89</v>
      </c>
      <c r="L220" s="16" t="s">
        <v>90</v>
      </c>
      <c r="M220" s="64" t="s">
        <v>1213</v>
      </c>
    </row>
    <row r="221" spans="1:13" x14ac:dyDescent="0.25">
      <c r="A221" s="11" t="s">
        <v>445</v>
      </c>
      <c r="B221" s="11" t="s">
        <v>142</v>
      </c>
      <c r="C221" s="12" t="s">
        <v>235</v>
      </c>
      <c r="D221" s="9" t="s">
        <v>492</v>
      </c>
      <c r="E221" s="9">
        <v>30</v>
      </c>
      <c r="F221" s="26">
        <v>17.600000000000001</v>
      </c>
      <c r="G221" s="16" t="s">
        <v>447</v>
      </c>
      <c r="H221" s="27">
        <v>9.3800000000000008</v>
      </c>
      <c r="I221" s="13" t="s">
        <v>448</v>
      </c>
      <c r="J221" s="13" t="s">
        <v>114</v>
      </c>
      <c r="K221" s="16" t="s">
        <v>89</v>
      </c>
      <c r="L221" s="16" t="s">
        <v>90</v>
      </c>
      <c r="M221" s="64" t="s">
        <v>1213</v>
      </c>
    </row>
    <row r="222" spans="1:13" x14ac:dyDescent="0.25">
      <c r="A222" s="11" t="s">
        <v>445</v>
      </c>
      <c r="B222" s="11" t="s">
        <v>142</v>
      </c>
      <c r="C222" s="12" t="s">
        <v>235</v>
      </c>
      <c r="D222" s="9" t="s">
        <v>492</v>
      </c>
      <c r="E222" s="9">
        <v>30</v>
      </c>
      <c r="F222" s="26">
        <v>17.600000000000001</v>
      </c>
      <c r="G222" s="16" t="s">
        <v>447</v>
      </c>
      <c r="H222" s="27">
        <v>7</v>
      </c>
      <c r="I222" s="13" t="s">
        <v>451</v>
      </c>
      <c r="J222" s="13" t="s">
        <v>114</v>
      </c>
      <c r="K222" s="16" t="s">
        <v>89</v>
      </c>
      <c r="L222" s="16" t="s">
        <v>90</v>
      </c>
      <c r="M222" s="64" t="s">
        <v>1213</v>
      </c>
    </row>
    <row r="223" spans="1:13" x14ac:dyDescent="0.25">
      <c r="A223" s="11" t="s">
        <v>445</v>
      </c>
      <c r="B223" s="11" t="s">
        <v>142</v>
      </c>
      <c r="C223" s="12" t="s">
        <v>493</v>
      </c>
      <c r="D223" s="9" t="s">
        <v>494</v>
      </c>
      <c r="E223" s="9">
        <v>30</v>
      </c>
      <c r="F223" s="26">
        <v>11.984999999999999</v>
      </c>
      <c r="G223" s="16" t="s">
        <v>447</v>
      </c>
      <c r="H223" s="27">
        <v>6.25</v>
      </c>
      <c r="I223" s="13" t="s">
        <v>452</v>
      </c>
      <c r="J223" s="13" t="s">
        <v>114</v>
      </c>
      <c r="K223" s="16" t="s">
        <v>89</v>
      </c>
      <c r="L223" s="16" t="s">
        <v>90</v>
      </c>
      <c r="M223" s="64" t="s">
        <v>1213</v>
      </c>
    </row>
    <row r="224" spans="1:13" x14ac:dyDescent="0.25">
      <c r="A224" s="11" t="s">
        <v>445</v>
      </c>
      <c r="B224" s="11" t="s">
        <v>142</v>
      </c>
      <c r="C224" s="12" t="s">
        <v>493</v>
      </c>
      <c r="D224" s="9" t="s">
        <v>494</v>
      </c>
      <c r="E224" s="9">
        <v>30</v>
      </c>
      <c r="F224" s="26">
        <v>11.984999999999999</v>
      </c>
      <c r="G224" s="16" t="s">
        <v>447</v>
      </c>
      <c r="H224" s="27">
        <v>7</v>
      </c>
      <c r="I224" s="13" t="s">
        <v>451</v>
      </c>
      <c r="J224" s="13" t="s">
        <v>114</v>
      </c>
      <c r="K224" s="16" t="s">
        <v>89</v>
      </c>
      <c r="L224" s="16" t="s">
        <v>90</v>
      </c>
      <c r="M224" s="64" t="s">
        <v>1213</v>
      </c>
    </row>
    <row r="225" spans="1:13" x14ac:dyDescent="0.25">
      <c r="A225" s="11" t="s">
        <v>445</v>
      </c>
      <c r="B225" s="11" t="s">
        <v>142</v>
      </c>
      <c r="C225" s="12" t="s">
        <v>493</v>
      </c>
      <c r="D225" s="9" t="s">
        <v>494</v>
      </c>
      <c r="E225" s="9">
        <v>30</v>
      </c>
      <c r="F225" s="26">
        <v>11.984999999999999</v>
      </c>
      <c r="G225" s="16" t="s">
        <v>447</v>
      </c>
      <c r="H225" s="27">
        <v>7</v>
      </c>
      <c r="I225" s="13" t="s">
        <v>451</v>
      </c>
      <c r="J225" s="13" t="s">
        <v>114</v>
      </c>
      <c r="K225" s="16" t="s">
        <v>89</v>
      </c>
      <c r="L225" s="16" t="s">
        <v>90</v>
      </c>
      <c r="M225" s="64" t="s">
        <v>1213</v>
      </c>
    </row>
    <row r="226" spans="1:13" x14ac:dyDescent="0.25">
      <c r="A226" s="11" t="s">
        <v>445</v>
      </c>
      <c r="B226" s="11" t="s">
        <v>142</v>
      </c>
      <c r="C226" s="12" t="s">
        <v>493</v>
      </c>
      <c r="D226" s="9" t="s">
        <v>494</v>
      </c>
      <c r="E226" s="9" t="s">
        <v>495</v>
      </c>
      <c r="F226" s="26">
        <v>4.3</v>
      </c>
      <c r="G226" s="16" t="s">
        <v>471</v>
      </c>
      <c r="H226" s="27">
        <v>5</v>
      </c>
      <c r="I226" s="13" t="s">
        <v>452</v>
      </c>
      <c r="J226" s="13" t="s">
        <v>114</v>
      </c>
      <c r="K226" s="16" t="s">
        <v>89</v>
      </c>
      <c r="L226" s="16" t="s">
        <v>90</v>
      </c>
      <c r="M226" s="64" t="s">
        <v>1213</v>
      </c>
    </row>
    <row r="227" spans="1:13" x14ac:dyDescent="0.25">
      <c r="A227" s="11" t="s">
        <v>445</v>
      </c>
      <c r="B227" s="11" t="s">
        <v>142</v>
      </c>
      <c r="C227" s="12" t="s">
        <v>496</v>
      </c>
      <c r="D227" s="9" t="s">
        <v>497</v>
      </c>
      <c r="E227" s="9">
        <v>30</v>
      </c>
      <c r="F227" s="26">
        <v>6.2</v>
      </c>
      <c r="G227" s="16" t="s">
        <v>447</v>
      </c>
      <c r="H227" s="27">
        <v>3.75</v>
      </c>
      <c r="I227" s="13" t="s">
        <v>466</v>
      </c>
      <c r="J227" s="13" t="s">
        <v>114</v>
      </c>
      <c r="K227" s="16" t="s">
        <v>89</v>
      </c>
      <c r="L227" s="16" t="s">
        <v>90</v>
      </c>
      <c r="M227" s="64" t="s">
        <v>1213</v>
      </c>
    </row>
    <row r="228" spans="1:13" x14ac:dyDescent="0.25">
      <c r="A228" s="11" t="s">
        <v>445</v>
      </c>
      <c r="B228" s="11" t="s">
        <v>142</v>
      </c>
      <c r="C228" s="12" t="s">
        <v>496</v>
      </c>
      <c r="D228" s="9" t="s">
        <v>497</v>
      </c>
      <c r="E228" s="9">
        <v>30</v>
      </c>
      <c r="F228" s="26">
        <v>6.2</v>
      </c>
      <c r="G228" s="16" t="s">
        <v>447</v>
      </c>
      <c r="H228" s="27">
        <v>3.75</v>
      </c>
      <c r="I228" s="13" t="s">
        <v>466</v>
      </c>
      <c r="J228" s="13" t="s">
        <v>114</v>
      </c>
      <c r="K228" s="16" t="s">
        <v>89</v>
      </c>
      <c r="L228" s="16" t="s">
        <v>90</v>
      </c>
      <c r="M228" s="64" t="s">
        <v>1213</v>
      </c>
    </row>
    <row r="229" spans="1:13" x14ac:dyDescent="0.25">
      <c r="A229" s="11" t="s">
        <v>445</v>
      </c>
      <c r="B229" s="11" t="s">
        <v>142</v>
      </c>
      <c r="C229" s="12" t="s">
        <v>496</v>
      </c>
      <c r="D229" s="9" t="s">
        <v>497</v>
      </c>
      <c r="E229" s="9">
        <v>30</v>
      </c>
      <c r="F229" s="26">
        <v>6.2</v>
      </c>
      <c r="G229" s="16" t="s">
        <v>447</v>
      </c>
      <c r="H229" s="27">
        <v>3.75</v>
      </c>
      <c r="I229" s="13" t="s">
        <v>466</v>
      </c>
      <c r="J229" s="13" t="s">
        <v>114</v>
      </c>
      <c r="K229" s="16" t="s">
        <v>89</v>
      </c>
      <c r="L229" s="16" t="s">
        <v>90</v>
      </c>
      <c r="M229" s="64" t="s">
        <v>1213</v>
      </c>
    </row>
    <row r="230" spans="1:13" x14ac:dyDescent="0.25">
      <c r="A230" s="11" t="s">
        <v>445</v>
      </c>
      <c r="B230" s="11" t="s">
        <v>142</v>
      </c>
      <c r="C230" s="12" t="s">
        <v>496</v>
      </c>
      <c r="D230" s="9" t="s">
        <v>497</v>
      </c>
      <c r="E230" s="9">
        <v>30</v>
      </c>
      <c r="F230" s="26">
        <v>6.2</v>
      </c>
      <c r="G230" s="16" t="s">
        <v>447</v>
      </c>
      <c r="H230" s="27">
        <v>3.75</v>
      </c>
      <c r="I230" s="13" t="s">
        <v>466</v>
      </c>
      <c r="J230" s="13" t="s">
        <v>114</v>
      </c>
      <c r="K230" s="16" t="s">
        <v>109</v>
      </c>
      <c r="L230" s="16" t="s">
        <v>90</v>
      </c>
      <c r="M230" s="64" t="s">
        <v>1213</v>
      </c>
    </row>
    <row r="231" spans="1:13" x14ac:dyDescent="0.25">
      <c r="A231" s="11" t="s">
        <v>445</v>
      </c>
      <c r="B231" s="11" t="s">
        <v>142</v>
      </c>
      <c r="C231" s="12" t="s">
        <v>498</v>
      </c>
      <c r="D231" s="9" t="s">
        <v>499</v>
      </c>
      <c r="E231" s="9">
        <v>30</v>
      </c>
      <c r="F231" s="26">
        <v>12.14</v>
      </c>
      <c r="G231" s="16" t="s">
        <v>447</v>
      </c>
      <c r="H231" s="27">
        <v>7</v>
      </c>
      <c r="I231" s="13" t="s">
        <v>451</v>
      </c>
      <c r="J231" s="13" t="s">
        <v>114</v>
      </c>
      <c r="K231" s="16" t="s">
        <v>89</v>
      </c>
      <c r="L231" s="16" t="s">
        <v>90</v>
      </c>
      <c r="M231" s="64" t="s">
        <v>1213</v>
      </c>
    </row>
    <row r="232" spans="1:13" x14ac:dyDescent="0.25">
      <c r="A232" s="11" t="s">
        <v>445</v>
      </c>
      <c r="B232" s="11" t="s">
        <v>142</v>
      </c>
      <c r="C232" s="12" t="s">
        <v>498</v>
      </c>
      <c r="D232" s="9" t="s">
        <v>499</v>
      </c>
      <c r="E232" s="9">
        <v>30</v>
      </c>
      <c r="F232" s="26">
        <v>12.14</v>
      </c>
      <c r="G232" s="16" t="s">
        <v>447</v>
      </c>
      <c r="H232" s="27">
        <v>7</v>
      </c>
      <c r="I232" s="13" t="s">
        <v>451</v>
      </c>
      <c r="J232" s="13" t="s">
        <v>114</v>
      </c>
      <c r="K232" s="16" t="s">
        <v>89</v>
      </c>
      <c r="L232" s="16" t="s">
        <v>90</v>
      </c>
      <c r="M232" s="64" t="s">
        <v>1213</v>
      </c>
    </row>
    <row r="233" spans="1:13" x14ac:dyDescent="0.25">
      <c r="A233" s="11" t="s">
        <v>445</v>
      </c>
      <c r="B233" s="11" t="s">
        <v>142</v>
      </c>
      <c r="C233" s="12" t="s">
        <v>498</v>
      </c>
      <c r="D233" s="9" t="s">
        <v>499</v>
      </c>
      <c r="E233" s="9">
        <v>30</v>
      </c>
      <c r="F233" s="26">
        <v>12.14</v>
      </c>
      <c r="G233" s="16" t="s">
        <v>447</v>
      </c>
      <c r="H233" s="27">
        <v>7</v>
      </c>
      <c r="I233" s="13" t="s">
        <v>451</v>
      </c>
      <c r="J233" s="13" t="s">
        <v>114</v>
      </c>
      <c r="K233" s="16" t="s">
        <v>89</v>
      </c>
      <c r="L233" s="16" t="s">
        <v>90</v>
      </c>
      <c r="M233" s="64" t="s">
        <v>1213</v>
      </c>
    </row>
    <row r="234" spans="1:13" x14ac:dyDescent="0.25">
      <c r="A234" s="11" t="s">
        <v>445</v>
      </c>
      <c r="B234" s="11" t="s">
        <v>142</v>
      </c>
      <c r="C234" s="12" t="s">
        <v>500</v>
      </c>
      <c r="D234" s="9" t="s">
        <v>501</v>
      </c>
      <c r="E234" s="9">
        <v>30</v>
      </c>
      <c r="F234" s="26">
        <v>20.94</v>
      </c>
      <c r="G234" s="16" t="s">
        <v>447</v>
      </c>
      <c r="H234" s="27">
        <v>10</v>
      </c>
      <c r="I234" s="13" t="s">
        <v>448</v>
      </c>
      <c r="J234" s="13" t="s">
        <v>114</v>
      </c>
      <c r="K234" s="16" t="s">
        <v>89</v>
      </c>
      <c r="L234" s="16" t="s">
        <v>90</v>
      </c>
      <c r="M234" s="64" t="s">
        <v>1213</v>
      </c>
    </row>
    <row r="235" spans="1:13" x14ac:dyDescent="0.25">
      <c r="A235" s="11" t="s">
        <v>445</v>
      </c>
      <c r="B235" s="11" t="s">
        <v>142</v>
      </c>
      <c r="C235" s="12" t="s">
        <v>500</v>
      </c>
      <c r="D235" s="9" t="s">
        <v>501</v>
      </c>
      <c r="E235" s="9">
        <v>30</v>
      </c>
      <c r="F235" s="26">
        <v>20.94</v>
      </c>
      <c r="G235" s="16" t="s">
        <v>447</v>
      </c>
      <c r="H235" s="27">
        <v>7</v>
      </c>
      <c r="I235" s="13" t="s">
        <v>451</v>
      </c>
      <c r="J235" s="13" t="s">
        <v>114</v>
      </c>
      <c r="K235" s="16" t="s">
        <v>89</v>
      </c>
      <c r="L235" s="16" t="s">
        <v>90</v>
      </c>
      <c r="M235" s="64" t="s">
        <v>1213</v>
      </c>
    </row>
    <row r="236" spans="1:13" x14ac:dyDescent="0.25">
      <c r="A236" s="11" t="s">
        <v>445</v>
      </c>
      <c r="B236" s="11" t="s">
        <v>142</v>
      </c>
      <c r="C236" s="12" t="s">
        <v>500</v>
      </c>
      <c r="D236" s="9" t="s">
        <v>501</v>
      </c>
      <c r="E236" s="9">
        <v>30</v>
      </c>
      <c r="F236" s="26">
        <v>20.94</v>
      </c>
      <c r="G236" s="16" t="s">
        <v>447</v>
      </c>
      <c r="H236" s="27">
        <v>7</v>
      </c>
      <c r="I236" s="13" t="s">
        <v>451</v>
      </c>
      <c r="J236" s="13" t="s">
        <v>114</v>
      </c>
      <c r="K236" s="16" t="s">
        <v>89</v>
      </c>
      <c r="L236" s="16" t="s">
        <v>90</v>
      </c>
      <c r="M236" s="64" t="s">
        <v>1213</v>
      </c>
    </row>
    <row r="237" spans="1:13" x14ac:dyDescent="0.25">
      <c r="A237" s="11" t="s">
        <v>445</v>
      </c>
      <c r="B237" s="11" t="s">
        <v>142</v>
      </c>
      <c r="C237" s="12" t="s">
        <v>500</v>
      </c>
      <c r="D237" s="9" t="s">
        <v>501</v>
      </c>
      <c r="E237" s="9">
        <v>30</v>
      </c>
      <c r="F237" s="26">
        <v>20.94</v>
      </c>
      <c r="G237" s="16" t="s">
        <v>447</v>
      </c>
      <c r="H237" s="27">
        <v>7</v>
      </c>
      <c r="I237" s="13" t="s">
        <v>451</v>
      </c>
      <c r="J237" s="13" t="s">
        <v>114</v>
      </c>
      <c r="K237" s="16" t="s">
        <v>89</v>
      </c>
      <c r="L237" s="16" t="s">
        <v>90</v>
      </c>
      <c r="M237" s="64" t="s">
        <v>1213</v>
      </c>
    </row>
    <row r="238" spans="1:13" x14ac:dyDescent="0.25">
      <c r="A238" s="11" t="s">
        <v>445</v>
      </c>
      <c r="B238" s="11" t="s">
        <v>142</v>
      </c>
      <c r="C238" s="12" t="s">
        <v>500</v>
      </c>
      <c r="D238" s="9" t="s">
        <v>501</v>
      </c>
      <c r="E238" s="9" t="s">
        <v>495</v>
      </c>
      <c r="F238" s="26">
        <v>8.7899999999999991</v>
      </c>
      <c r="G238" s="16" t="s">
        <v>471</v>
      </c>
      <c r="H238" s="27">
        <v>6.25</v>
      </c>
      <c r="I238" s="13" t="s">
        <v>452</v>
      </c>
      <c r="J238" s="13" t="s">
        <v>114</v>
      </c>
      <c r="K238" s="16" t="s">
        <v>89</v>
      </c>
      <c r="L238" s="16" t="s">
        <v>90</v>
      </c>
      <c r="M238" s="64" t="s">
        <v>1213</v>
      </c>
    </row>
    <row r="239" spans="1:13" x14ac:dyDescent="0.25">
      <c r="A239" s="11" t="s">
        <v>445</v>
      </c>
      <c r="B239" s="11" t="s">
        <v>142</v>
      </c>
      <c r="C239" s="12" t="s">
        <v>502</v>
      </c>
      <c r="D239" s="9" t="s">
        <v>503</v>
      </c>
      <c r="E239" s="9">
        <v>30</v>
      </c>
      <c r="F239" s="26">
        <v>6.2050000000000001</v>
      </c>
      <c r="G239" s="16" t="s">
        <v>447</v>
      </c>
      <c r="H239" s="27">
        <v>6.25</v>
      </c>
      <c r="I239" s="13" t="s">
        <v>452</v>
      </c>
      <c r="J239" s="13" t="s">
        <v>114</v>
      </c>
      <c r="K239" s="16" t="s">
        <v>89</v>
      </c>
      <c r="L239" s="16" t="s">
        <v>90</v>
      </c>
      <c r="M239" s="64" t="s">
        <v>1213</v>
      </c>
    </row>
    <row r="240" spans="1:13" x14ac:dyDescent="0.25">
      <c r="A240" s="11" t="s">
        <v>445</v>
      </c>
      <c r="B240" s="11" t="s">
        <v>142</v>
      </c>
      <c r="C240" s="12" t="s">
        <v>502</v>
      </c>
      <c r="D240" s="9" t="s">
        <v>503</v>
      </c>
      <c r="E240" s="9">
        <v>30</v>
      </c>
      <c r="F240" s="26">
        <v>6.2050000000000001</v>
      </c>
      <c r="G240" s="16" t="s">
        <v>447</v>
      </c>
      <c r="H240" s="27">
        <v>6.25</v>
      </c>
      <c r="I240" s="13" t="s">
        <v>452</v>
      </c>
      <c r="J240" s="13" t="s">
        <v>114</v>
      </c>
      <c r="K240" s="16" t="s">
        <v>89</v>
      </c>
      <c r="L240" s="16" t="s">
        <v>90</v>
      </c>
      <c r="M240" s="64" t="s">
        <v>1213</v>
      </c>
    </row>
    <row r="241" spans="1:13" x14ac:dyDescent="0.25">
      <c r="A241" s="11" t="s">
        <v>445</v>
      </c>
      <c r="B241" s="11" t="s">
        <v>142</v>
      </c>
      <c r="C241" s="12" t="s">
        <v>502</v>
      </c>
      <c r="D241" s="9" t="s">
        <v>503</v>
      </c>
      <c r="E241" s="9">
        <v>30</v>
      </c>
      <c r="F241" s="26">
        <v>6.2050000000000001</v>
      </c>
      <c r="G241" s="16" t="s">
        <v>447</v>
      </c>
      <c r="H241" s="27">
        <v>7</v>
      </c>
      <c r="I241" s="13" t="s">
        <v>451</v>
      </c>
      <c r="J241" s="13" t="s">
        <v>114</v>
      </c>
      <c r="K241" s="16" t="s">
        <v>89</v>
      </c>
      <c r="L241" s="16" t="s">
        <v>90</v>
      </c>
      <c r="M241" s="64" t="s">
        <v>1213</v>
      </c>
    </row>
    <row r="242" spans="1:13" x14ac:dyDescent="0.25">
      <c r="A242" s="11" t="s">
        <v>445</v>
      </c>
      <c r="B242" s="11" t="s">
        <v>142</v>
      </c>
      <c r="C242" s="12" t="s">
        <v>41</v>
      </c>
      <c r="D242" s="9" t="s">
        <v>504</v>
      </c>
      <c r="E242" s="9">
        <v>30</v>
      </c>
      <c r="F242" s="26">
        <v>16.36</v>
      </c>
      <c r="G242" s="16" t="s">
        <v>447</v>
      </c>
      <c r="H242" s="27">
        <v>6.25</v>
      </c>
      <c r="I242" s="13" t="s">
        <v>452</v>
      </c>
      <c r="J242" s="13" t="s">
        <v>114</v>
      </c>
      <c r="K242" s="16" t="s">
        <v>89</v>
      </c>
      <c r="L242" s="16" t="s">
        <v>90</v>
      </c>
      <c r="M242" s="64" t="s">
        <v>1213</v>
      </c>
    </row>
    <row r="243" spans="1:13" x14ac:dyDescent="0.25">
      <c r="A243" s="11" t="s">
        <v>445</v>
      </c>
      <c r="B243" s="11" t="s">
        <v>142</v>
      </c>
      <c r="C243" s="12" t="s">
        <v>41</v>
      </c>
      <c r="D243" s="9" t="s">
        <v>504</v>
      </c>
      <c r="E243" s="9">
        <v>30</v>
      </c>
      <c r="F243" s="26">
        <v>16.36</v>
      </c>
      <c r="G243" s="16" t="s">
        <v>447</v>
      </c>
      <c r="H243" s="27">
        <v>7</v>
      </c>
      <c r="I243" s="13" t="s">
        <v>451</v>
      </c>
      <c r="J243" s="13" t="s">
        <v>114</v>
      </c>
      <c r="K243" s="16" t="s">
        <v>89</v>
      </c>
      <c r="L243" s="16" t="s">
        <v>90</v>
      </c>
      <c r="M243" s="64" t="s">
        <v>1213</v>
      </c>
    </row>
    <row r="244" spans="1:13" x14ac:dyDescent="0.25">
      <c r="A244" s="11" t="s">
        <v>445</v>
      </c>
      <c r="B244" s="11" t="s">
        <v>142</v>
      </c>
      <c r="C244" s="12" t="s">
        <v>41</v>
      </c>
      <c r="D244" s="9" t="s">
        <v>504</v>
      </c>
      <c r="E244" s="9">
        <v>30</v>
      </c>
      <c r="F244" s="26">
        <v>16.36</v>
      </c>
      <c r="G244" s="16" t="s">
        <v>447</v>
      </c>
      <c r="H244" s="27">
        <v>7.5</v>
      </c>
      <c r="I244" s="13" t="s">
        <v>451</v>
      </c>
      <c r="J244" s="13" t="s">
        <v>114</v>
      </c>
      <c r="K244" s="16" t="s">
        <v>89</v>
      </c>
      <c r="L244" s="16" t="s">
        <v>90</v>
      </c>
      <c r="M244" s="64" t="s">
        <v>1213</v>
      </c>
    </row>
    <row r="245" spans="1:13" x14ac:dyDescent="0.25">
      <c r="A245" s="11" t="s">
        <v>445</v>
      </c>
      <c r="B245" s="11" t="s">
        <v>142</v>
      </c>
      <c r="C245" s="12" t="s">
        <v>505</v>
      </c>
      <c r="D245" s="9" t="s">
        <v>506</v>
      </c>
      <c r="E245" s="9">
        <v>30</v>
      </c>
      <c r="F245" s="26">
        <v>10.85</v>
      </c>
      <c r="G245" s="16" t="s">
        <v>447</v>
      </c>
      <c r="H245" s="27">
        <v>7</v>
      </c>
      <c r="I245" s="13" t="s">
        <v>451</v>
      </c>
      <c r="J245" s="13" t="s">
        <v>114</v>
      </c>
      <c r="K245" s="16" t="s">
        <v>109</v>
      </c>
      <c r="L245" s="16" t="s">
        <v>90</v>
      </c>
      <c r="M245" s="64" t="s">
        <v>1213</v>
      </c>
    </row>
    <row r="246" spans="1:13" x14ac:dyDescent="0.25">
      <c r="A246" s="11" t="s">
        <v>445</v>
      </c>
      <c r="B246" s="11" t="s">
        <v>142</v>
      </c>
      <c r="C246" s="12" t="s">
        <v>505</v>
      </c>
      <c r="D246" s="9" t="s">
        <v>506</v>
      </c>
      <c r="E246" s="9">
        <v>30</v>
      </c>
      <c r="F246" s="26">
        <v>10.85</v>
      </c>
      <c r="G246" s="16" t="s">
        <v>447</v>
      </c>
      <c r="H246" s="27">
        <v>7</v>
      </c>
      <c r="I246" s="13" t="s">
        <v>451</v>
      </c>
      <c r="J246" s="13" t="s">
        <v>114</v>
      </c>
      <c r="K246" s="16" t="s">
        <v>89</v>
      </c>
      <c r="L246" s="16" t="s">
        <v>90</v>
      </c>
      <c r="M246" s="64" t="s">
        <v>1213</v>
      </c>
    </row>
    <row r="247" spans="1:13" x14ac:dyDescent="0.25">
      <c r="A247" s="11" t="s">
        <v>445</v>
      </c>
      <c r="B247" s="11" t="s">
        <v>142</v>
      </c>
      <c r="C247" s="12" t="s">
        <v>505</v>
      </c>
      <c r="D247" s="9" t="s">
        <v>506</v>
      </c>
      <c r="E247" s="9">
        <v>30</v>
      </c>
      <c r="F247" s="26">
        <v>10.85</v>
      </c>
      <c r="G247" s="16" t="s">
        <v>447</v>
      </c>
      <c r="H247" s="27">
        <v>7.5</v>
      </c>
      <c r="I247" s="13" t="s">
        <v>451</v>
      </c>
      <c r="J247" s="13" t="s">
        <v>114</v>
      </c>
      <c r="K247" s="16" t="s">
        <v>89</v>
      </c>
      <c r="L247" s="16" t="s">
        <v>90</v>
      </c>
      <c r="M247" s="64" t="s">
        <v>1213</v>
      </c>
    </row>
    <row r="248" spans="1:13" x14ac:dyDescent="0.25">
      <c r="A248" s="11" t="s">
        <v>445</v>
      </c>
      <c r="B248" s="11" t="s">
        <v>142</v>
      </c>
      <c r="C248" s="12" t="s">
        <v>507</v>
      </c>
      <c r="D248" s="9" t="s">
        <v>508</v>
      </c>
      <c r="E248" s="9">
        <v>30</v>
      </c>
      <c r="F248" s="26">
        <v>14.28</v>
      </c>
      <c r="G248" s="16" t="s">
        <v>447</v>
      </c>
      <c r="H248" s="27">
        <v>10</v>
      </c>
      <c r="I248" s="13" t="s">
        <v>448</v>
      </c>
      <c r="J248" s="13" t="s">
        <v>114</v>
      </c>
      <c r="K248" s="16" t="s">
        <v>89</v>
      </c>
      <c r="L248" s="16" t="s">
        <v>90</v>
      </c>
      <c r="M248" s="64" t="s">
        <v>1213</v>
      </c>
    </row>
    <row r="249" spans="1:13" x14ac:dyDescent="0.25">
      <c r="A249" s="11" t="s">
        <v>445</v>
      </c>
      <c r="B249" s="11" t="s">
        <v>142</v>
      </c>
      <c r="C249" s="12" t="s">
        <v>507</v>
      </c>
      <c r="D249" s="9" t="s">
        <v>508</v>
      </c>
      <c r="E249" s="9">
        <v>30</v>
      </c>
      <c r="F249" s="26">
        <v>14.28</v>
      </c>
      <c r="G249" s="16" t="s">
        <v>447</v>
      </c>
      <c r="H249" s="27">
        <v>10</v>
      </c>
      <c r="I249" s="13" t="s">
        <v>448</v>
      </c>
      <c r="J249" s="13" t="s">
        <v>114</v>
      </c>
      <c r="K249" s="16" t="s">
        <v>89</v>
      </c>
      <c r="L249" s="16" t="s">
        <v>90</v>
      </c>
      <c r="M249" s="64" t="s">
        <v>1213</v>
      </c>
    </row>
    <row r="250" spans="1:13" x14ac:dyDescent="0.25">
      <c r="A250" s="11" t="s">
        <v>445</v>
      </c>
      <c r="B250" s="11" t="s">
        <v>142</v>
      </c>
      <c r="C250" s="12" t="s">
        <v>507</v>
      </c>
      <c r="D250" s="9" t="s">
        <v>508</v>
      </c>
      <c r="E250" s="9">
        <v>30</v>
      </c>
      <c r="F250" s="26">
        <v>14.28</v>
      </c>
      <c r="G250" s="16" t="s">
        <v>447</v>
      </c>
      <c r="H250" s="27">
        <v>10.5</v>
      </c>
      <c r="I250" s="13" t="s">
        <v>448</v>
      </c>
      <c r="J250" s="13" t="s">
        <v>114</v>
      </c>
      <c r="K250" s="16" t="s">
        <v>89</v>
      </c>
      <c r="L250" s="16" t="s">
        <v>90</v>
      </c>
      <c r="M250" s="64" t="s">
        <v>1213</v>
      </c>
    </row>
    <row r="251" spans="1:13" x14ac:dyDescent="0.25">
      <c r="A251" s="11" t="s">
        <v>445</v>
      </c>
      <c r="B251" s="11" t="s">
        <v>142</v>
      </c>
      <c r="C251" s="12" t="s">
        <v>509</v>
      </c>
      <c r="D251" s="9" t="s">
        <v>510</v>
      </c>
      <c r="E251" s="9">
        <v>12.47</v>
      </c>
      <c r="F251" s="26">
        <v>14</v>
      </c>
      <c r="G251" s="16" t="s">
        <v>471</v>
      </c>
      <c r="H251" s="27">
        <v>6.25</v>
      </c>
      <c r="I251" s="13" t="s">
        <v>452</v>
      </c>
      <c r="J251" s="13" t="s">
        <v>114</v>
      </c>
      <c r="K251" s="16" t="s">
        <v>89</v>
      </c>
      <c r="L251" s="16" t="s">
        <v>90</v>
      </c>
      <c r="M251" s="64" t="s">
        <v>1213</v>
      </c>
    </row>
    <row r="252" spans="1:13" x14ac:dyDescent="0.25">
      <c r="A252" s="11" t="s">
        <v>445</v>
      </c>
      <c r="B252" s="11" t="s">
        <v>142</v>
      </c>
      <c r="C252" s="12" t="s">
        <v>509</v>
      </c>
      <c r="D252" s="9" t="s">
        <v>510</v>
      </c>
      <c r="E252" s="9">
        <v>12.47</v>
      </c>
      <c r="F252" s="26">
        <v>14</v>
      </c>
      <c r="G252" s="16" t="s">
        <v>471</v>
      </c>
      <c r="H252" s="27">
        <v>6.25</v>
      </c>
      <c r="I252" s="13" t="s">
        <v>452</v>
      </c>
      <c r="J252" s="13" t="s">
        <v>114</v>
      </c>
      <c r="K252" s="16" t="s">
        <v>89</v>
      </c>
      <c r="L252" s="16" t="s">
        <v>90</v>
      </c>
      <c r="M252" s="64" t="s">
        <v>1213</v>
      </c>
    </row>
    <row r="253" spans="1:13" x14ac:dyDescent="0.25">
      <c r="A253" s="11" t="s">
        <v>445</v>
      </c>
      <c r="B253" s="11" t="s">
        <v>142</v>
      </c>
      <c r="C253" s="12" t="s">
        <v>509</v>
      </c>
      <c r="D253" s="9" t="s">
        <v>510</v>
      </c>
      <c r="E253" s="9">
        <v>12.47</v>
      </c>
      <c r="F253" s="26">
        <v>14</v>
      </c>
      <c r="G253" s="16" t="s">
        <v>471</v>
      </c>
      <c r="H253" s="27">
        <v>6.25</v>
      </c>
      <c r="I253" s="13" t="s">
        <v>452</v>
      </c>
      <c r="J253" s="13" t="s">
        <v>114</v>
      </c>
      <c r="K253" s="16" t="s">
        <v>89</v>
      </c>
      <c r="L253" s="16" t="s">
        <v>90</v>
      </c>
      <c r="M253" s="64" t="s">
        <v>1213</v>
      </c>
    </row>
    <row r="254" spans="1:13" x14ac:dyDescent="0.25">
      <c r="A254" s="11" t="s">
        <v>445</v>
      </c>
      <c r="B254" s="11" t="s">
        <v>142</v>
      </c>
      <c r="C254" s="12" t="s">
        <v>511</v>
      </c>
      <c r="D254" s="9" t="s">
        <v>512</v>
      </c>
      <c r="E254" s="9">
        <v>30</v>
      </c>
      <c r="F254" s="26">
        <v>11.219999999999999</v>
      </c>
      <c r="G254" s="16" t="s">
        <v>447</v>
      </c>
      <c r="H254" s="27">
        <v>9.3800000000000008</v>
      </c>
      <c r="I254" s="13" t="s">
        <v>448</v>
      </c>
      <c r="J254" s="13" t="s">
        <v>114</v>
      </c>
      <c r="K254" s="16" t="s">
        <v>89</v>
      </c>
      <c r="L254" s="16" t="s">
        <v>90</v>
      </c>
      <c r="M254" s="64" t="s">
        <v>1213</v>
      </c>
    </row>
    <row r="255" spans="1:13" x14ac:dyDescent="0.25">
      <c r="A255" s="11" t="s">
        <v>445</v>
      </c>
      <c r="B255" s="11" t="s">
        <v>142</v>
      </c>
      <c r="C255" s="12" t="s">
        <v>511</v>
      </c>
      <c r="D255" s="9" t="s">
        <v>512</v>
      </c>
      <c r="E255" s="9">
        <v>30</v>
      </c>
      <c r="F255" s="26">
        <v>11.219999999999999</v>
      </c>
      <c r="G255" s="16" t="s">
        <v>447</v>
      </c>
      <c r="H255" s="27">
        <v>9.3800000000000008</v>
      </c>
      <c r="I255" s="13" t="s">
        <v>448</v>
      </c>
      <c r="J255" s="13" t="s">
        <v>114</v>
      </c>
      <c r="K255" s="16" t="s">
        <v>109</v>
      </c>
      <c r="L255" s="16" t="s">
        <v>90</v>
      </c>
      <c r="M255" s="64" t="s">
        <v>1213</v>
      </c>
    </row>
    <row r="256" spans="1:13" x14ac:dyDescent="0.25">
      <c r="A256" s="11" t="s">
        <v>445</v>
      </c>
      <c r="B256" s="11" t="s">
        <v>142</v>
      </c>
      <c r="C256" s="12" t="s">
        <v>511</v>
      </c>
      <c r="D256" s="9" t="s">
        <v>512</v>
      </c>
      <c r="E256" s="9">
        <v>30</v>
      </c>
      <c r="F256" s="26">
        <v>11.219999999999999</v>
      </c>
      <c r="G256" s="16" t="s">
        <v>447</v>
      </c>
      <c r="H256" s="27">
        <v>10.5</v>
      </c>
      <c r="I256" s="13" t="s">
        <v>448</v>
      </c>
      <c r="J256" s="13" t="s">
        <v>114</v>
      </c>
      <c r="K256" s="16" t="s">
        <v>89</v>
      </c>
      <c r="L256" s="16" t="s">
        <v>90</v>
      </c>
      <c r="M256" s="64" t="s">
        <v>1213</v>
      </c>
    </row>
    <row r="257" spans="1:13" x14ac:dyDescent="0.25">
      <c r="A257" s="11" t="s">
        <v>445</v>
      </c>
      <c r="B257" s="11" t="s">
        <v>142</v>
      </c>
      <c r="C257" s="12" t="s">
        <v>513</v>
      </c>
      <c r="D257" s="9" t="s">
        <v>514</v>
      </c>
      <c r="E257" s="9">
        <v>30</v>
      </c>
      <c r="F257" s="26">
        <v>6.63</v>
      </c>
      <c r="G257" s="16" t="s">
        <v>447</v>
      </c>
      <c r="H257" s="27">
        <v>3.75</v>
      </c>
      <c r="I257" s="13" t="s">
        <v>466</v>
      </c>
      <c r="J257" s="13" t="s">
        <v>114</v>
      </c>
      <c r="K257" s="16" t="s">
        <v>89</v>
      </c>
      <c r="L257" s="16" t="s">
        <v>90</v>
      </c>
      <c r="M257" s="64" t="s">
        <v>1213</v>
      </c>
    </row>
    <row r="258" spans="1:13" x14ac:dyDescent="0.25">
      <c r="A258" s="11" t="s">
        <v>445</v>
      </c>
      <c r="B258" s="11" t="s">
        <v>142</v>
      </c>
      <c r="C258" s="12" t="s">
        <v>513</v>
      </c>
      <c r="D258" s="9" t="s">
        <v>514</v>
      </c>
      <c r="E258" s="9">
        <v>30</v>
      </c>
      <c r="F258" s="26">
        <v>6.63</v>
      </c>
      <c r="G258" s="16" t="s">
        <v>447</v>
      </c>
      <c r="H258" s="27">
        <v>3.65</v>
      </c>
      <c r="I258" s="13" t="s">
        <v>466</v>
      </c>
      <c r="J258" s="13" t="s">
        <v>114</v>
      </c>
      <c r="K258" s="16" t="s">
        <v>89</v>
      </c>
      <c r="L258" s="16" t="s">
        <v>90</v>
      </c>
      <c r="M258" s="64" t="s">
        <v>1213</v>
      </c>
    </row>
    <row r="259" spans="1:13" x14ac:dyDescent="0.25">
      <c r="A259" s="11" t="s">
        <v>445</v>
      </c>
      <c r="B259" s="11" t="s">
        <v>142</v>
      </c>
      <c r="C259" s="12" t="s">
        <v>513</v>
      </c>
      <c r="D259" s="9" t="s">
        <v>514</v>
      </c>
      <c r="E259" s="9">
        <v>30</v>
      </c>
      <c r="F259" s="26">
        <v>6.63</v>
      </c>
      <c r="G259" s="16" t="s">
        <v>447</v>
      </c>
      <c r="H259" s="27">
        <v>3.75</v>
      </c>
      <c r="I259" s="13" t="s">
        <v>466</v>
      </c>
      <c r="J259" s="13" t="s">
        <v>114</v>
      </c>
      <c r="K259" s="16" t="s">
        <v>89</v>
      </c>
      <c r="L259" s="16" t="s">
        <v>90</v>
      </c>
      <c r="M259" s="64" t="s">
        <v>1213</v>
      </c>
    </row>
    <row r="260" spans="1:13" x14ac:dyDescent="0.25">
      <c r="A260" s="11" t="s">
        <v>445</v>
      </c>
      <c r="B260" s="11" t="s">
        <v>142</v>
      </c>
      <c r="C260" s="12" t="s">
        <v>515</v>
      </c>
      <c r="D260" s="9" t="s">
        <v>516</v>
      </c>
      <c r="E260" s="9">
        <v>30</v>
      </c>
      <c r="F260" s="26">
        <v>16.510000000000002</v>
      </c>
      <c r="G260" s="16" t="s">
        <v>447</v>
      </c>
      <c r="H260" s="27">
        <v>10.5</v>
      </c>
      <c r="I260" s="13" t="s">
        <v>448</v>
      </c>
      <c r="J260" s="13" t="s">
        <v>114</v>
      </c>
      <c r="K260" s="16" t="s">
        <v>89</v>
      </c>
      <c r="L260" s="16" t="s">
        <v>90</v>
      </c>
      <c r="M260" s="64" t="s">
        <v>1213</v>
      </c>
    </row>
    <row r="261" spans="1:13" x14ac:dyDescent="0.25">
      <c r="A261" s="11" t="s">
        <v>445</v>
      </c>
      <c r="B261" s="11" t="s">
        <v>142</v>
      </c>
      <c r="C261" s="12" t="s">
        <v>515</v>
      </c>
      <c r="D261" s="9" t="s">
        <v>516</v>
      </c>
      <c r="E261" s="9">
        <v>30</v>
      </c>
      <c r="F261" s="26">
        <v>16.510000000000002</v>
      </c>
      <c r="G261" s="16" t="s">
        <v>447</v>
      </c>
      <c r="H261" s="27">
        <v>10.5</v>
      </c>
      <c r="I261" s="13" t="s">
        <v>448</v>
      </c>
      <c r="J261" s="13" t="s">
        <v>114</v>
      </c>
      <c r="K261" s="16" t="s">
        <v>89</v>
      </c>
      <c r="L261" s="16" t="s">
        <v>90</v>
      </c>
      <c r="M261" s="64" t="s">
        <v>1213</v>
      </c>
    </row>
    <row r="262" spans="1:13" x14ac:dyDescent="0.25">
      <c r="A262" s="11" t="s">
        <v>445</v>
      </c>
      <c r="B262" s="11" t="s">
        <v>142</v>
      </c>
      <c r="C262" s="12" t="s">
        <v>515</v>
      </c>
      <c r="D262" s="9" t="s">
        <v>516</v>
      </c>
      <c r="E262" s="9">
        <v>30</v>
      </c>
      <c r="F262" s="26">
        <v>16.510000000000002</v>
      </c>
      <c r="G262" s="16" t="s">
        <v>447</v>
      </c>
      <c r="H262" s="27">
        <v>10.5</v>
      </c>
      <c r="I262" s="13" t="s">
        <v>448</v>
      </c>
      <c r="J262" s="13" t="s">
        <v>114</v>
      </c>
      <c r="K262" s="16" t="s">
        <v>89</v>
      </c>
      <c r="L262" s="16" t="s">
        <v>90</v>
      </c>
      <c r="M262" s="64" t="s">
        <v>1213</v>
      </c>
    </row>
    <row r="263" spans="1:13" x14ac:dyDescent="0.25">
      <c r="A263" s="11" t="s">
        <v>445</v>
      </c>
      <c r="B263" s="11" t="s">
        <v>142</v>
      </c>
      <c r="C263" s="12" t="s">
        <v>517</v>
      </c>
      <c r="D263" s="9" t="s">
        <v>518</v>
      </c>
      <c r="E263" s="9">
        <v>30</v>
      </c>
      <c r="F263" s="26">
        <v>11.81</v>
      </c>
      <c r="G263" s="16" t="s">
        <v>447</v>
      </c>
      <c r="H263" s="27">
        <v>3.65</v>
      </c>
      <c r="I263" s="13" t="s">
        <v>466</v>
      </c>
      <c r="J263" s="13" t="s">
        <v>114</v>
      </c>
      <c r="K263" s="16" t="s">
        <v>89</v>
      </c>
      <c r="L263" s="16" t="s">
        <v>90</v>
      </c>
      <c r="M263" s="64" t="s">
        <v>1213</v>
      </c>
    </row>
    <row r="264" spans="1:13" x14ac:dyDescent="0.25">
      <c r="A264" s="11" t="s">
        <v>445</v>
      </c>
      <c r="B264" s="11" t="s">
        <v>142</v>
      </c>
      <c r="C264" s="12" t="s">
        <v>517</v>
      </c>
      <c r="D264" s="9" t="s">
        <v>518</v>
      </c>
      <c r="E264" s="9">
        <v>30</v>
      </c>
      <c r="F264" s="26">
        <v>11.81</v>
      </c>
      <c r="G264" s="16" t="s">
        <v>447</v>
      </c>
      <c r="H264" s="27">
        <v>3.75</v>
      </c>
      <c r="I264" s="13" t="s">
        <v>466</v>
      </c>
      <c r="J264" s="13" t="s">
        <v>114</v>
      </c>
      <c r="K264" s="16" t="s">
        <v>89</v>
      </c>
      <c r="L264" s="16" t="s">
        <v>90</v>
      </c>
      <c r="M264" s="64" t="s">
        <v>1213</v>
      </c>
    </row>
    <row r="265" spans="1:13" x14ac:dyDescent="0.25">
      <c r="A265" s="11" t="s">
        <v>445</v>
      </c>
      <c r="B265" s="11" t="s">
        <v>142</v>
      </c>
      <c r="C265" s="12" t="s">
        <v>517</v>
      </c>
      <c r="D265" s="9" t="s">
        <v>518</v>
      </c>
      <c r="E265" s="9">
        <v>30</v>
      </c>
      <c r="F265" s="26">
        <v>11.81</v>
      </c>
      <c r="G265" s="16" t="s">
        <v>447</v>
      </c>
      <c r="H265" s="27">
        <v>3.75</v>
      </c>
      <c r="I265" s="13" t="s">
        <v>466</v>
      </c>
      <c r="J265" s="13" t="s">
        <v>114</v>
      </c>
      <c r="K265" s="16" t="s">
        <v>89</v>
      </c>
      <c r="L265" s="16" t="s">
        <v>90</v>
      </c>
      <c r="M265" s="64" t="s">
        <v>1213</v>
      </c>
    </row>
    <row r="266" spans="1:13" x14ac:dyDescent="0.25">
      <c r="A266" s="11" t="s">
        <v>445</v>
      </c>
      <c r="B266" s="11" t="s">
        <v>142</v>
      </c>
      <c r="C266" s="12" t="s">
        <v>519</v>
      </c>
      <c r="D266" s="9" t="s">
        <v>520</v>
      </c>
      <c r="E266" s="9">
        <v>30</v>
      </c>
      <c r="F266" s="26">
        <v>12.58</v>
      </c>
      <c r="G266" s="16" t="s">
        <v>447</v>
      </c>
      <c r="H266" s="27">
        <v>7</v>
      </c>
      <c r="I266" s="13" t="s">
        <v>451</v>
      </c>
      <c r="J266" s="13" t="s">
        <v>114</v>
      </c>
      <c r="K266" s="16" t="s">
        <v>89</v>
      </c>
      <c r="L266" s="16" t="s">
        <v>90</v>
      </c>
      <c r="M266" s="64" t="s">
        <v>1213</v>
      </c>
    </row>
    <row r="267" spans="1:13" x14ac:dyDescent="0.25">
      <c r="A267" s="11" t="s">
        <v>445</v>
      </c>
      <c r="B267" s="11" t="s">
        <v>142</v>
      </c>
      <c r="C267" s="12" t="s">
        <v>519</v>
      </c>
      <c r="D267" s="9" t="s">
        <v>520</v>
      </c>
      <c r="E267" s="9">
        <v>30</v>
      </c>
      <c r="F267" s="26">
        <v>12.58</v>
      </c>
      <c r="G267" s="16" t="s">
        <v>447</v>
      </c>
      <c r="H267" s="27">
        <v>7</v>
      </c>
      <c r="I267" s="13" t="s">
        <v>451</v>
      </c>
      <c r="J267" s="13" t="s">
        <v>114</v>
      </c>
      <c r="K267" s="16" t="s">
        <v>89</v>
      </c>
      <c r="L267" s="16" t="s">
        <v>90</v>
      </c>
      <c r="M267" s="64" t="s">
        <v>1213</v>
      </c>
    </row>
    <row r="268" spans="1:13" x14ac:dyDescent="0.25">
      <c r="A268" s="11" t="s">
        <v>445</v>
      </c>
      <c r="B268" s="11" t="s">
        <v>142</v>
      </c>
      <c r="C268" s="12" t="s">
        <v>519</v>
      </c>
      <c r="D268" s="9" t="s">
        <v>520</v>
      </c>
      <c r="E268" s="9">
        <v>30</v>
      </c>
      <c r="F268" s="26">
        <v>12.58</v>
      </c>
      <c r="G268" s="16" t="s">
        <v>447</v>
      </c>
      <c r="H268" s="27">
        <v>7</v>
      </c>
      <c r="I268" s="13" t="s">
        <v>451</v>
      </c>
      <c r="J268" s="13" t="s">
        <v>114</v>
      </c>
      <c r="K268" s="16" t="s">
        <v>109</v>
      </c>
      <c r="L268" s="16" t="s">
        <v>90</v>
      </c>
      <c r="M268" s="64" t="s">
        <v>1213</v>
      </c>
    </row>
    <row r="269" spans="1:13" x14ac:dyDescent="0.25">
      <c r="A269" s="11" t="s">
        <v>445</v>
      </c>
      <c r="B269" s="11" t="s">
        <v>142</v>
      </c>
      <c r="C269" s="12" t="s">
        <v>519</v>
      </c>
      <c r="D269" s="9" t="s">
        <v>520</v>
      </c>
      <c r="E269" s="9">
        <v>30</v>
      </c>
      <c r="F269" s="26">
        <v>12.58</v>
      </c>
      <c r="G269" s="16" t="s">
        <v>447</v>
      </c>
      <c r="H269" s="27">
        <v>7</v>
      </c>
      <c r="I269" s="13" t="s">
        <v>451</v>
      </c>
      <c r="J269" s="13" t="s">
        <v>114</v>
      </c>
      <c r="K269" s="16" t="s">
        <v>89</v>
      </c>
      <c r="L269" s="16" t="s">
        <v>90</v>
      </c>
      <c r="M269" s="64" t="s">
        <v>1213</v>
      </c>
    </row>
    <row r="270" spans="1:13" x14ac:dyDescent="0.25">
      <c r="A270" s="11" t="s">
        <v>445</v>
      </c>
      <c r="B270" s="11" t="s">
        <v>142</v>
      </c>
      <c r="C270" s="12" t="s">
        <v>521</v>
      </c>
      <c r="D270" s="9" t="s">
        <v>522</v>
      </c>
      <c r="E270" s="9">
        <v>30</v>
      </c>
      <c r="F270" s="26">
        <v>19.8</v>
      </c>
      <c r="G270" s="16" t="s">
        <v>447</v>
      </c>
      <c r="H270" s="27">
        <v>10.5</v>
      </c>
      <c r="I270" s="13" t="s">
        <v>448</v>
      </c>
      <c r="J270" s="13" t="s">
        <v>114</v>
      </c>
      <c r="K270" s="16" t="s">
        <v>89</v>
      </c>
      <c r="L270" s="16" t="s">
        <v>90</v>
      </c>
      <c r="M270" s="64" t="s">
        <v>1213</v>
      </c>
    </row>
    <row r="271" spans="1:13" x14ac:dyDescent="0.25">
      <c r="A271" s="11" t="s">
        <v>445</v>
      </c>
      <c r="B271" s="11" t="s">
        <v>142</v>
      </c>
      <c r="C271" s="12" t="s">
        <v>521</v>
      </c>
      <c r="D271" s="9" t="s">
        <v>522</v>
      </c>
      <c r="E271" s="9">
        <v>30</v>
      </c>
      <c r="F271" s="26">
        <v>19.8</v>
      </c>
      <c r="G271" s="16" t="s">
        <v>447</v>
      </c>
      <c r="H271" s="27">
        <v>10.5</v>
      </c>
      <c r="I271" s="13" t="s">
        <v>448</v>
      </c>
      <c r="J271" s="13" t="s">
        <v>114</v>
      </c>
      <c r="K271" s="16" t="s">
        <v>89</v>
      </c>
      <c r="L271" s="16" t="s">
        <v>90</v>
      </c>
      <c r="M271" s="64" t="s">
        <v>1213</v>
      </c>
    </row>
    <row r="272" spans="1:13" x14ac:dyDescent="0.25">
      <c r="A272" s="11" t="s">
        <v>445</v>
      </c>
      <c r="B272" s="11" t="s">
        <v>142</v>
      </c>
      <c r="C272" s="12" t="s">
        <v>521</v>
      </c>
      <c r="D272" s="9" t="s">
        <v>522</v>
      </c>
      <c r="E272" s="9">
        <v>30</v>
      </c>
      <c r="F272" s="26">
        <v>19.8</v>
      </c>
      <c r="G272" s="16" t="s">
        <v>447</v>
      </c>
      <c r="H272" s="27">
        <v>10.5</v>
      </c>
      <c r="I272" s="13" t="s">
        <v>448</v>
      </c>
      <c r="J272" s="13" t="s">
        <v>114</v>
      </c>
      <c r="K272" s="16" t="s">
        <v>89</v>
      </c>
      <c r="L272" s="16" t="s">
        <v>90</v>
      </c>
      <c r="M272" s="64" t="s">
        <v>1213</v>
      </c>
    </row>
    <row r="273" spans="1:13" x14ac:dyDescent="0.25">
      <c r="A273" s="11" t="s">
        <v>445</v>
      </c>
      <c r="B273" s="11" t="s">
        <v>142</v>
      </c>
      <c r="C273" s="12" t="s">
        <v>523</v>
      </c>
      <c r="D273" s="9" t="s">
        <v>524</v>
      </c>
      <c r="E273" s="9">
        <v>30</v>
      </c>
      <c r="F273" s="26">
        <v>11.87</v>
      </c>
      <c r="G273" s="16" t="s">
        <v>447</v>
      </c>
      <c r="H273" s="27">
        <v>6.25</v>
      </c>
      <c r="I273" s="13" t="s">
        <v>452</v>
      </c>
      <c r="J273" s="13" t="s">
        <v>114</v>
      </c>
      <c r="K273" s="16" t="s">
        <v>89</v>
      </c>
      <c r="L273" s="16" t="s">
        <v>90</v>
      </c>
      <c r="M273" s="64" t="s">
        <v>1213</v>
      </c>
    </row>
    <row r="274" spans="1:13" x14ac:dyDescent="0.25">
      <c r="A274" s="11" t="s">
        <v>445</v>
      </c>
      <c r="B274" s="11" t="s">
        <v>142</v>
      </c>
      <c r="C274" s="12" t="s">
        <v>523</v>
      </c>
      <c r="D274" s="9" t="s">
        <v>524</v>
      </c>
      <c r="E274" s="9">
        <v>30</v>
      </c>
      <c r="F274" s="26">
        <v>11.87</v>
      </c>
      <c r="G274" s="16" t="s">
        <v>447</v>
      </c>
      <c r="H274" s="27">
        <v>6.25</v>
      </c>
      <c r="I274" s="13" t="s">
        <v>452</v>
      </c>
      <c r="J274" s="13" t="s">
        <v>114</v>
      </c>
      <c r="K274" s="16" t="s">
        <v>89</v>
      </c>
      <c r="L274" s="16" t="s">
        <v>90</v>
      </c>
      <c r="M274" s="64" t="s">
        <v>1213</v>
      </c>
    </row>
    <row r="275" spans="1:13" x14ac:dyDescent="0.25">
      <c r="A275" s="11" t="s">
        <v>445</v>
      </c>
      <c r="B275" s="11" t="s">
        <v>142</v>
      </c>
      <c r="C275" s="12" t="s">
        <v>523</v>
      </c>
      <c r="D275" s="9" t="s">
        <v>524</v>
      </c>
      <c r="E275" s="9">
        <v>30</v>
      </c>
      <c r="F275" s="26">
        <v>11.87</v>
      </c>
      <c r="G275" s="16" t="s">
        <v>447</v>
      </c>
      <c r="H275" s="27">
        <v>7</v>
      </c>
      <c r="I275" s="13" t="s">
        <v>451</v>
      </c>
      <c r="J275" s="13" t="s">
        <v>114</v>
      </c>
      <c r="K275" s="16" t="s">
        <v>89</v>
      </c>
      <c r="L275" s="16" t="s">
        <v>90</v>
      </c>
      <c r="M275" s="64" t="s">
        <v>1213</v>
      </c>
    </row>
    <row r="276" spans="1:13" x14ac:dyDescent="0.25">
      <c r="A276" s="11" t="s">
        <v>445</v>
      </c>
      <c r="B276" s="11" t="s">
        <v>142</v>
      </c>
      <c r="C276" s="12" t="s">
        <v>525</v>
      </c>
      <c r="D276" s="9" t="s">
        <v>526</v>
      </c>
      <c r="E276" s="9">
        <v>30</v>
      </c>
      <c r="F276" s="26">
        <v>9.89</v>
      </c>
      <c r="G276" s="16" t="s">
        <v>447</v>
      </c>
      <c r="H276" s="27">
        <v>7</v>
      </c>
      <c r="I276" s="13" t="s">
        <v>451</v>
      </c>
      <c r="J276" s="13" t="s">
        <v>114</v>
      </c>
      <c r="K276" s="16" t="s">
        <v>89</v>
      </c>
      <c r="L276" s="16" t="s">
        <v>90</v>
      </c>
      <c r="M276" s="64" t="s">
        <v>1213</v>
      </c>
    </row>
    <row r="277" spans="1:13" x14ac:dyDescent="0.25">
      <c r="A277" s="11" t="s">
        <v>445</v>
      </c>
      <c r="B277" s="11" t="s">
        <v>142</v>
      </c>
      <c r="C277" s="12" t="s">
        <v>525</v>
      </c>
      <c r="D277" s="9" t="s">
        <v>526</v>
      </c>
      <c r="E277" s="9">
        <v>30</v>
      </c>
      <c r="F277" s="26">
        <v>9.89</v>
      </c>
      <c r="G277" s="16" t="s">
        <v>447</v>
      </c>
      <c r="H277" s="27">
        <v>6.25</v>
      </c>
      <c r="I277" s="13" t="s">
        <v>452</v>
      </c>
      <c r="J277" s="13" t="s">
        <v>114</v>
      </c>
      <c r="K277" s="16" t="s">
        <v>89</v>
      </c>
      <c r="L277" s="16" t="s">
        <v>90</v>
      </c>
      <c r="M277" s="64" t="s">
        <v>1213</v>
      </c>
    </row>
    <row r="278" spans="1:13" x14ac:dyDescent="0.25">
      <c r="A278" s="11" t="s">
        <v>445</v>
      </c>
      <c r="B278" s="11" t="s">
        <v>142</v>
      </c>
      <c r="C278" s="12" t="s">
        <v>527</v>
      </c>
      <c r="D278" s="9" t="s">
        <v>528</v>
      </c>
      <c r="E278" s="9">
        <v>30</v>
      </c>
      <c r="F278" s="26">
        <v>9.7750000000000004</v>
      </c>
      <c r="G278" s="16" t="s">
        <v>447</v>
      </c>
      <c r="H278" s="27">
        <v>7</v>
      </c>
      <c r="I278" s="13" t="s">
        <v>451</v>
      </c>
      <c r="J278" s="13" t="s">
        <v>114</v>
      </c>
      <c r="K278" s="16" t="s">
        <v>109</v>
      </c>
      <c r="L278" s="16" t="s">
        <v>90</v>
      </c>
      <c r="M278" s="64" t="s">
        <v>1213</v>
      </c>
    </row>
    <row r="279" spans="1:13" x14ac:dyDescent="0.25">
      <c r="A279" s="11" t="s">
        <v>445</v>
      </c>
      <c r="B279" s="11" t="s">
        <v>142</v>
      </c>
      <c r="C279" s="12" t="s">
        <v>527</v>
      </c>
      <c r="D279" s="9" t="s">
        <v>528</v>
      </c>
      <c r="E279" s="9">
        <v>30</v>
      </c>
      <c r="F279" s="26">
        <v>9.7750000000000004</v>
      </c>
      <c r="G279" s="16" t="s">
        <v>447</v>
      </c>
      <c r="H279" s="27">
        <v>7</v>
      </c>
      <c r="I279" s="13" t="s">
        <v>451</v>
      </c>
      <c r="J279" s="13" t="s">
        <v>114</v>
      </c>
      <c r="K279" s="16" t="s">
        <v>89</v>
      </c>
      <c r="L279" s="16" t="s">
        <v>90</v>
      </c>
      <c r="M279" s="64" t="s">
        <v>1213</v>
      </c>
    </row>
    <row r="280" spans="1:13" x14ac:dyDescent="0.25">
      <c r="A280" s="11" t="s">
        <v>445</v>
      </c>
      <c r="B280" s="11" t="s">
        <v>142</v>
      </c>
      <c r="C280" s="12" t="s">
        <v>527</v>
      </c>
      <c r="D280" s="9" t="s">
        <v>528</v>
      </c>
      <c r="E280" s="9">
        <v>30</v>
      </c>
      <c r="F280" s="26">
        <v>9.7750000000000004</v>
      </c>
      <c r="G280" s="16" t="s">
        <v>447</v>
      </c>
      <c r="H280" s="27">
        <v>7</v>
      </c>
      <c r="I280" s="13" t="s">
        <v>451</v>
      </c>
      <c r="J280" s="13" t="s">
        <v>114</v>
      </c>
      <c r="K280" s="16" t="s">
        <v>89</v>
      </c>
      <c r="L280" s="16" t="s">
        <v>90</v>
      </c>
      <c r="M280" s="64" t="s">
        <v>1213</v>
      </c>
    </row>
    <row r="281" spans="1:13" x14ac:dyDescent="0.25">
      <c r="A281" s="11" t="s">
        <v>445</v>
      </c>
      <c r="B281" s="11" t="s">
        <v>142</v>
      </c>
      <c r="C281" s="12" t="s">
        <v>529</v>
      </c>
      <c r="D281" s="9" t="s">
        <v>530</v>
      </c>
      <c r="E281" s="9">
        <v>30</v>
      </c>
      <c r="F281" s="26">
        <v>17.57</v>
      </c>
      <c r="G281" s="16" t="s">
        <v>447</v>
      </c>
      <c r="H281" s="27">
        <v>10.5</v>
      </c>
      <c r="I281" s="13" t="s">
        <v>448</v>
      </c>
      <c r="J281" s="13" t="s">
        <v>114</v>
      </c>
      <c r="K281" s="16" t="s">
        <v>109</v>
      </c>
      <c r="L281" s="16" t="s">
        <v>90</v>
      </c>
      <c r="M281" s="64" t="s">
        <v>1213</v>
      </c>
    </row>
    <row r="282" spans="1:13" x14ac:dyDescent="0.25">
      <c r="A282" s="11" t="s">
        <v>445</v>
      </c>
      <c r="B282" s="11" t="s">
        <v>142</v>
      </c>
      <c r="C282" s="12" t="s">
        <v>529</v>
      </c>
      <c r="D282" s="9" t="s">
        <v>530</v>
      </c>
      <c r="E282" s="9">
        <v>30</v>
      </c>
      <c r="F282" s="26">
        <v>17.57</v>
      </c>
      <c r="G282" s="16" t="s">
        <v>447</v>
      </c>
      <c r="H282" s="27">
        <v>10.5</v>
      </c>
      <c r="I282" s="13" t="s">
        <v>448</v>
      </c>
      <c r="J282" s="13" t="s">
        <v>114</v>
      </c>
      <c r="K282" s="16" t="s">
        <v>89</v>
      </c>
      <c r="L282" s="16" t="s">
        <v>90</v>
      </c>
      <c r="M282" s="64" t="s">
        <v>1213</v>
      </c>
    </row>
    <row r="283" spans="1:13" x14ac:dyDescent="0.25">
      <c r="A283" s="11" t="s">
        <v>445</v>
      </c>
      <c r="B283" s="11" t="s">
        <v>142</v>
      </c>
      <c r="C283" s="12" t="s">
        <v>529</v>
      </c>
      <c r="D283" s="9" t="s">
        <v>530</v>
      </c>
      <c r="E283" s="9">
        <v>30</v>
      </c>
      <c r="F283" s="26">
        <v>17.57</v>
      </c>
      <c r="G283" s="16" t="s">
        <v>447</v>
      </c>
      <c r="H283" s="27">
        <v>10.5</v>
      </c>
      <c r="I283" s="13" t="s">
        <v>448</v>
      </c>
      <c r="J283" s="13" t="s">
        <v>114</v>
      </c>
      <c r="K283" s="16" t="s">
        <v>89</v>
      </c>
      <c r="L283" s="16" t="s">
        <v>90</v>
      </c>
      <c r="M283" s="64" t="s">
        <v>1213</v>
      </c>
    </row>
    <row r="284" spans="1:13" x14ac:dyDescent="0.25">
      <c r="A284" s="11" t="s">
        <v>445</v>
      </c>
      <c r="B284" s="11" t="s">
        <v>142</v>
      </c>
      <c r="C284" s="12" t="s">
        <v>531</v>
      </c>
      <c r="D284" s="9" t="s">
        <v>532</v>
      </c>
      <c r="E284" s="9">
        <v>30</v>
      </c>
      <c r="F284" s="26">
        <v>8.84</v>
      </c>
      <c r="G284" s="16" t="s">
        <v>447</v>
      </c>
      <c r="H284" s="27">
        <v>7</v>
      </c>
      <c r="I284" s="13" t="s">
        <v>451</v>
      </c>
      <c r="J284" s="13" t="s">
        <v>114</v>
      </c>
      <c r="K284" s="16" t="s">
        <v>89</v>
      </c>
      <c r="L284" s="16" t="s">
        <v>90</v>
      </c>
      <c r="M284" s="64" t="s">
        <v>1213</v>
      </c>
    </row>
    <row r="285" spans="1:13" x14ac:dyDescent="0.25">
      <c r="A285" s="11" t="s">
        <v>445</v>
      </c>
      <c r="B285" s="11" t="s">
        <v>142</v>
      </c>
      <c r="C285" s="12" t="s">
        <v>531</v>
      </c>
      <c r="D285" s="9" t="s">
        <v>532</v>
      </c>
      <c r="E285" s="9">
        <v>30</v>
      </c>
      <c r="F285" s="26">
        <v>8.84</v>
      </c>
      <c r="G285" s="16" t="s">
        <v>447</v>
      </c>
      <c r="H285" s="27">
        <v>7</v>
      </c>
      <c r="I285" s="13" t="s">
        <v>451</v>
      </c>
      <c r="J285" s="13" t="s">
        <v>114</v>
      </c>
      <c r="K285" s="16" t="s">
        <v>89</v>
      </c>
      <c r="L285" s="16" t="s">
        <v>90</v>
      </c>
      <c r="M285" s="64" t="s">
        <v>1213</v>
      </c>
    </row>
    <row r="286" spans="1:13" x14ac:dyDescent="0.25">
      <c r="A286" s="11" t="s">
        <v>445</v>
      </c>
      <c r="B286" s="11" t="s">
        <v>142</v>
      </c>
      <c r="C286" s="12" t="s">
        <v>531</v>
      </c>
      <c r="D286" s="9" t="s">
        <v>532</v>
      </c>
      <c r="E286" s="9">
        <v>30</v>
      </c>
      <c r="F286" s="26">
        <v>8.84</v>
      </c>
      <c r="G286" s="16" t="s">
        <v>447</v>
      </c>
      <c r="H286" s="27">
        <v>7</v>
      </c>
      <c r="I286" s="13" t="s">
        <v>451</v>
      </c>
      <c r="J286" s="13" t="s">
        <v>114</v>
      </c>
      <c r="K286" s="16" t="s">
        <v>89</v>
      </c>
      <c r="L286" s="16" t="s">
        <v>90</v>
      </c>
      <c r="M286" s="64" t="s">
        <v>1213</v>
      </c>
    </row>
    <row r="287" spans="1:13" x14ac:dyDescent="0.25">
      <c r="A287" s="28" t="s">
        <v>392</v>
      </c>
      <c r="B287" s="28" t="s">
        <v>533</v>
      </c>
      <c r="C287" s="29" t="s">
        <v>534</v>
      </c>
      <c r="D287" s="28" t="s">
        <v>535</v>
      </c>
      <c r="E287" s="28">
        <v>34.5</v>
      </c>
      <c r="F287" s="30">
        <v>10</v>
      </c>
      <c r="G287" s="31" t="s">
        <v>536</v>
      </c>
      <c r="H287" s="28">
        <v>10</v>
      </c>
      <c r="I287" s="28" t="s">
        <v>537</v>
      </c>
      <c r="J287" s="28" t="s">
        <v>114</v>
      </c>
      <c r="K287" s="28" t="s">
        <v>89</v>
      </c>
      <c r="L287" s="28" t="s">
        <v>90</v>
      </c>
      <c r="M287" s="64" t="s">
        <v>1213</v>
      </c>
    </row>
    <row r="288" spans="1:13" x14ac:dyDescent="0.25">
      <c r="A288" s="28" t="s">
        <v>392</v>
      </c>
      <c r="B288" s="28" t="s">
        <v>533</v>
      </c>
      <c r="C288" s="29" t="s">
        <v>397</v>
      </c>
      <c r="D288" s="28" t="s">
        <v>538</v>
      </c>
      <c r="E288" s="28">
        <v>34.5</v>
      </c>
      <c r="F288" s="30">
        <v>10</v>
      </c>
      <c r="G288" s="31" t="s">
        <v>536</v>
      </c>
      <c r="H288" s="28">
        <v>10</v>
      </c>
      <c r="I288" s="28" t="s">
        <v>539</v>
      </c>
      <c r="J288" s="28" t="s">
        <v>114</v>
      </c>
      <c r="K288" s="28" t="s">
        <v>89</v>
      </c>
      <c r="L288" s="28" t="s">
        <v>90</v>
      </c>
      <c r="M288" s="64" t="s">
        <v>1213</v>
      </c>
    </row>
    <row r="289" spans="1:13" x14ac:dyDescent="0.25">
      <c r="A289" s="28" t="s">
        <v>392</v>
      </c>
      <c r="B289" s="28" t="s">
        <v>533</v>
      </c>
      <c r="C289" s="29" t="s">
        <v>540</v>
      </c>
      <c r="D289" s="28" t="s">
        <v>541</v>
      </c>
      <c r="E289" s="28">
        <v>34.5</v>
      </c>
      <c r="F289" s="30">
        <v>2.5</v>
      </c>
      <c r="G289" s="31" t="s">
        <v>536</v>
      </c>
      <c r="H289" s="28">
        <v>2.5</v>
      </c>
      <c r="I289" s="32" t="s">
        <v>539</v>
      </c>
      <c r="J289" s="28" t="s">
        <v>114</v>
      </c>
      <c r="K289" s="28" t="s">
        <v>89</v>
      </c>
      <c r="L289" s="28" t="s">
        <v>90</v>
      </c>
      <c r="M289" s="64" t="s">
        <v>1213</v>
      </c>
    </row>
    <row r="290" spans="1:13" x14ac:dyDescent="0.25">
      <c r="A290" s="28" t="s">
        <v>392</v>
      </c>
      <c r="B290" s="28" t="s">
        <v>533</v>
      </c>
      <c r="C290" s="29" t="s">
        <v>542</v>
      </c>
      <c r="D290" s="28" t="s">
        <v>543</v>
      </c>
      <c r="E290" s="28">
        <v>34.5</v>
      </c>
      <c r="F290" s="30">
        <v>10</v>
      </c>
      <c r="G290" s="31" t="s">
        <v>536</v>
      </c>
      <c r="H290" s="28">
        <v>10</v>
      </c>
      <c r="I290" s="28" t="s">
        <v>544</v>
      </c>
      <c r="J290" s="28" t="s">
        <v>114</v>
      </c>
      <c r="K290" s="28" t="s">
        <v>89</v>
      </c>
      <c r="L290" s="28" t="s">
        <v>90</v>
      </c>
      <c r="M290" s="64" t="s">
        <v>1213</v>
      </c>
    </row>
    <row r="291" spans="1:13" x14ac:dyDescent="0.25">
      <c r="A291" s="28" t="s">
        <v>392</v>
      </c>
      <c r="B291" s="28" t="s">
        <v>533</v>
      </c>
      <c r="C291" s="29" t="s">
        <v>545</v>
      </c>
      <c r="D291" s="28" t="s">
        <v>546</v>
      </c>
      <c r="E291" s="28">
        <v>34.5</v>
      </c>
      <c r="F291" s="30">
        <v>5</v>
      </c>
      <c r="G291" s="31" t="s">
        <v>536</v>
      </c>
      <c r="H291" s="28">
        <v>5</v>
      </c>
      <c r="I291" s="28" t="s">
        <v>539</v>
      </c>
      <c r="J291" s="28" t="s">
        <v>114</v>
      </c>
      <c r="K291" s="28" t="s">
        <v>89</v>
      </c>
      <c r="L291" s="28" t="s">
        <v>90</v>
      </c>
      <c r="M291" s="64" t="s">
        <v>1213</v>
      </c>
    </row>
    <row r="292" spans="1:13" x14ac:dyDescent="0.25">
      <c r="A292" s="28" t="s">
        <v>392</v>
      </c>
      <c r="B292" s="28" t="s">
        <v>533</v>
      </c>
      <c r="C292" s="29" t="s">
        <v>547</v>
      </c>
      <c r="D292" s="28" t="s">
        <v>548</v>
      </c>
      <c r="E292" s="28">
        <v>34.5</v>
      </c>
      <c r="F292" s="30">
        <v>16</v>
      </c>
      <c r="G292" s="31" t="s">
        <v>549</v>
      </c>
      <c r="H292" s="28">
        <v>10</v>
      </c>
      <c r="I292" s="28" t="s">
        <v>537</v>
      </c>
      <c r="J292" s="28" t="s">
        <v>88</v>
      </c>
      <c r="K292" s="28" t="s">
        <v>89</v>
      </c>
      <c r="L292" s="28" t="s">
        <v>90</v>
      </c>
      <c r="M292" s="64" t="s">
        <v>1213</v>
      </c>
    </row>
    <row r="293" spans="1:13" x14ac:dyDescent="0.25">
      <c r="A293" s="28" t="s">
        <v>392</v>
      </c>
      <c r="B293" s="28" t="s">
        <v>533</v>
      </c>
      <c r="C293" s="29" t="s">
        <v>547</v>
      </c>
      <c r="D293" s="28" t="s">
        <v>548</v>
      </c>
      <c r="E293" s="28">
        <v>34.5</v>
      </c>
      <c r="F293" s="30">
        <v>16</v>
      </c>
      <c r="G293" s="31" t="s">
        <v>536</v>
      </c>
      <c r="H293" s="28">
        <v>6</v>
      </c>
      <c r="I293" s="28" t="s">
        <v>550</v>
      </c>
      <c r="J293" s="28" t="s">
        <v>114</v>
      </c>
      <c r="K293" s="28" t="s">
        <v>89</v>
      </c>
      <c r="L293" s="28" t="s">
        <v>90</v>
      </c>
      <c r="M293" s="64" t="s">
        <v>1213</v>
      </c>
    </row>
    <row r="294" spans="1:13" x14ac:dyDescent="0.25">
      <c r="A294" s="28" t="s">
        <v>392</v>
      </c>
      <c r="B294" s="28" t="s">
        <v>533</v>
      </c>
      <c r="C294" s="29" t="s">
        <v>551</v>
      </c>
      <c r="D294" s="28" t="s">
        <v>552</v>
      </c>
      <c r="E294" s="28">
        <v>34.5</v>
      </c>
      <c r="F294" s="30">
        <v>15</v>
      </c>
      <c r="G294" s="31" t="s">
        <v>536</v>
      </c>
      <c r="H294" s="28">
        <v>15</v>
      </c>
      <c r="I294" s="28" t="s">
        <v>553</v>
      </c>
      <c r="J294" s="28" t="s">
        <v>114</v>
      </c>
      <c r="K294" s="28" t="s">
        <v>89</v>
      </c>
      <c r="L294" s="28" t="s">
        <v>90</v>
      </c>
      <c r="M294" s="64" t="s">
        <v>1213</v>
      </c>
    </row>
    <row r="295" spans="1:13" x14ac:dyDescent="0.25">
      <c r="A295" s="33" t="s">
        <v>392</v>
      </c>
      <c r="B295" s="33" t="s">
        <v>533</v>
      </c>
      <c r="C295" s="34" t="s">
        <v>554</v>
      </c>
      <c r="D295" s="28" t="s">
        <v>555</v>
      </c>
      <c r="E295" s="28">
        <v>34.5</v>
      </c>
      <c r="F295" s="35">
        <v>10</v>
      </c>
      <c r="G295" s="31" t="s">
        <v>536</v>
      </c>
      <c r="H295" s="33">
        <v>10</v>
      </c>
      <c r="I295" s="28" t="s">
        <v>556</v>
      </c>
      <c r="J295" s="28" t="s">
        <v>114</v>
      </c>
      <c r="K295" s="28" t="s">
        <v>89</v>
      </c>
      <c r="L295" s="28" t="s">
        <v>90</v>
      </c>
      <c r="M295" s="64" t="s">
        <v>1213</v>
      </c>
    </row>
    <row r="296" spans="1:13" x14ac:dyDescent="0.25">
      <c r="A296" s="28" t="s">
        <v>392</v>
      </c>
      <c r="B296" s="28" t="s">
        <v>533</v>
      </c>
      <c r="C296" s="29" t="s">
        <v>557</v>
      </c>
      <c r="D296" s="28" t="s">
        <v>558</v>
      </c>
      <c r="E296" s="28">
        <v>34.5</v>
      </c>
      <c r="F296" s="30">
        <v>20</v>
      </c>
      <c r="G296" s="31" t="s">
        <v>536</v>
      </c>
      <c r="H296" s="28">
        <v>10</v>
      </c>
      <c r="I296" s="28" t="s">
        <v>553</v>
      </c>
      <c r="J296" s="28" t="s">
        <v>114</v>
      </c>
      <c r="K296" s="28" t="s">
        <v>89</v>
      </c>
      <c r="L296" s="28" t="s">
        <v>90</v>
      </c>
      <c r="M296" s="64" t="s">
        <v>1213</v>
      </c>
    </row>
    <row r="297" spans="1:13" x14ac:dyDescent="0.25">
      <c r="A297" s="28" t="s">
        <v>392</v>
      </c>
      <c r="B297" s="28" t="s">
        <v>533</v>
      </c>
      <c r="C297" s="29" t="s">
        <v>557</v>
      </c>
      <c r="D297" s="28" t="s">
        <v>558</v>
      </c>
      <c r="E297" s="28">
        <v>34.5</v>
      </c>
      <c r="F297" s="30">
        <v>20</v>
      </c>
      <c r="G297" s="31" t="s">
        <v>549</v>
      </c>
      <c r="H297" s="28">
        <v>10</v>
      </c>
      <c r="I297" s="28" t="s">
        <v>553</v>
      </c>
      <c r="J297" s="28" t="s">
        <v>114</v>
      </c>
      <c r="K297" s="28" t="s">
        <v>89</v>
      </c>
      <c r="L297" s="28" t="s">
        <v>90</v>
      </c>
      <c r="M297" s="64" t="s">
        <v>1213</v>
      </c>
    </row>
    <row r="298" spans="1:13" x14ac:dyDescent="0.25">
      <c r="A298" s="28" t="s">
        <v>392</v>
      </c>
      <c r="B298" s="28" t="s">
        <v>533</v>
      </c>
      <c r="C298" s="29" t="s">
        <v>559</v>
      </c>
      <c r="D298" s="28" t="s">
        <v>560</v>
      </c>
      <c r="E298" s="28">
        <v>34.5</v>
      </c>
      <c r="F298" s="30">
        <v>10</v>
      </c>
      <c r="G298" s="31" t="s">
        <v>536</v>
      </c>
      <c r="H298" s="28">
        <v>10</v>
      </c>
      <c r="I298" s="28" t="s">
        <v>561</v>
      </c>
      <c r="J298" s="28" t="s">
        <v>114</v>
      </c>
      <c r="K298" s="28" t="s">
        <v>89</v>
      </c>
      <c r="L298" s="28" t="s">
        <v>90</v>
      </c>
      <c r="M298" s="64" t="s">
        <v>1213</v>
      </c>
    </row>
    <row r="299" spans="1:13" x14ac:dyDescent="0.25">
      <c r="A299" s="28" t="s">
        <v>392</v>
      </c>
      <c r="B299" s="28" t="s">
        <v>533</v>
      </c>
      <c r="C299" s="29" t="s">
        <v>562</v>
      </c>
      <c r="D299" s="28" t="s">
        <v>563</v>
      </c>
      <c r="E299" s="28">
        <v>34.5</v>
      </c>
      <c r="F299" s="30">
        <v>10</v>
      </c>
      <c r="G299" s="31" t="s">
        <v>536</v>
      </c>
      <c r="H299" s="28">
        <v>10</v>
      </c>
      <c r="I299" s="28" t="s">
        <v>550</v>
      </c>
      <c r="J299" s="28" t="s">
        <v>114</v>
      </c>
      <c r="K299" s="28" t="s">
        <v>89</v>
      </c>
      <c r="L299" s="28" t="s">
        <v>90</v>
      </c>
      <c r="M299" s="64" t="s">
        <v>1213</v>
      </c>
    </row>
    <row r="300" spans="1:13" x14ac:dyDescent="0.25">
      <c r="A300" s="28" t="s">
        <v>392</v>
      </c>
      <c r="B300" s="28" t="s">
        <v>533</v>
      </c>
      <c r="C300" s="29" t="s">
        <v>564</v>
      </c>
      <c r="D300" s="28" t="s">
        <v>565</v>
      </c>
      <c r="E300" s="28">
        <v>34.5</v>
      </c>
      <c r="F300" s="30">
        <v>2.5</v>
      </c>
      <c r="G300" s="31" t="s">
        <v>536</v>
      </c>
      <c r="H300" s="28">
        <v>2.5</v>
      </c>
      <c r="I300" s="28" t="s">
        <v>566</v>
      </c>
      <c r="J300" s="28" t="s">
        <v>88</v>
      </c>
      <c r="K300" s="28" t="s">
        <v>89</v>
      </c>
      <c r="L300" s="28" t="s">
        <v>90</v>
      </c>
      <c r="M300" s="64" t="s">
        <v>1213</v>
      </c>
    </row>
    <row r="301" spans="1:13" x14ac:dyDescent="0.25">
      <c r="A301" s="28" t="s">
        <v>392</v>
      </c>
      <c r="B301" s="28" t="s">
        <v>533</v>
      </c>
      <c r="C301" s="29" t="s">
        <v>567</v>
      </c>
      <c r="D301" s="28" t="s">
        <v>568</v>
      </c>
      <c r="E301" s="28">
        <v>34.5</v>
      </c>
      <c r="F301" s="30">
        <v>10</v>
      </c>
      <c r="G301" s="31" t="s">
        <v>536</v>
      </c>
      <c r="H301" s="28">
        <v>10</v>
      </c>
      <c r="I301" s="28" t="s">
        <v>544</v>
      </c>
      <c r="J301" s="28" t="s">
        <v>114</v>
      </c>
      <c r="K301" s="28" t="s">
        <v>109</v>
      </c>
      <c r="L301" s="28" t="s">
        <v>90</v>
      </c>
      <c r="M301" s="64" t="s">
        <v>1213</v>
      </c>
    </row>
    <row r="302" spans="1:13" x14ac:dyDescent="0.25">
      <c r="A302" s="28" t="s">
        <v>392</v>
      </c>
      <c r="B302" s="28" t="s">
        <v>533</v>
      </c>
      <c r="C302" s="29" t="s">
        <v>569</v>
      </c>
      <c r="D302" s="28" t="s">
        <v>570</v>
      </c>
      <c r="E302" s="28">
        <v>34.5</v>
      </c>
      <c r="F302" s="30">
        <v>20</v>
      </c>
      <c r="G302" s="31" t="s">
        <v>549</v>
      </c>
      <c r="H302" s="28">
        <v>15</v>
      </c>
      <c r="I302" s="28" t="s">
        <v>553</v>
      </c>
      <c r="J302" s="28" t="s">
        <v>114</v>
      </c>
      <c r="K302" s="28" t="s">
        <v>89</v>
      </c>
      <c r="L302" s="28" t="s">
        <v>90</v>
      </c>
      <c r="M302" s="64" t="s">
        <v>1213</v>
      </c>
    </row>
    <row r="303" spans="1:13" x14ac:dyDescent="0.25">
      <c r="A303" s="28" t="s">
        <v>392</v>
      </c>
      <c r="B303" s="28" t="s">
        <v>533</v>
      </c>
      <c r="C303" s="29" t="s">
        <v>569</v>
      </c>
      <c r="D303" s="28" t="s">
        <v>570</v>
      </c>
      <c r="E303" s="28">
        <v>34.5</v>
      </c>
      <c r="F303" s="30">
        <v>20</v>
      </c>
      <c r="G303" s="31" t="s">
        <v>536</v>
      </c>
      <c r="H303" s="28">
        <v>5</v>
      </c>
      <c r="I303" s="28" t="s">
        <v>539</v>
      </c>
      <c r="J303" s="28" t="s">
        <v>114</v>
      </c>
      <c r="K303" s="28" t="s">
        <v>89</v>
      </c>
      <c r="L303" s="28" t="s">
        <v>90</v>
      </c>
      <c r="M303" s="64" t="s">
        <v>1213</v>
      </c>
    </row>
    <row r="304" spans="1:13" x14ac:dyDescent="0.25">
      <c r="A304" s="28" t="s">
        <v>392</v>
      </c>
      <c r="B304" s="28" t="s">
        <v>533</v>
      </c>
      <c r="C304" s="29" t="s">
        <v>571</v>
      </c>
      <c r="D304" s="28" t="s">
        <v>572</v>
      </c>
      <c r="E304" s="28">
        <v>34.5</v>
      </c>
      <c r="F304" s="30">
        <v>1.5</v>
      </c>
      <c r="G304" s="31" t="s">
        <v>536</v>
      </c>
      <c r="H304" s="28">
        <v>1.5</v>
      </c>
      <c r="I304" s="28" t="s">
        <v>539</v>
      </c>
      <c r="J304" s="28" t="s">
        <v>88</v>
      </c>
      <c r="K304" s="28" t="s">
        <v>89</v>
      </c>
      <c r="L304" s="28" t="s">
        <v>90</v>
      </c>
      <c r="M304" s="64" t="s">
        <v>1213</v>
      </c>
    </row>
    <row r="305" spans="1:13" x14ac:dyDescent="0.25">
      <c r="A305" s="28" t="s">
        <v>392</v>
      </c>
      <c r="B305" s="28" t="s">
        <v>533</v>
      </c>
      <c r="C305" s="29" t="s">
        <v>573</v>
      </c>
      <c r="D305" s="28" t="s">
        <v>574</v>
      </c>
      <c r="E305" s="28">
        <v>34.5</v>
      </c>
      <c r="F305" s="30">
        <v>10</v>
      </c>
      <c r="G305" s="31" t="s">
        <v>536</v>
      </c>
      <c r="H305" s="28">
        <v>10</v>
      </c>
      <c r="I305" s="28" t="s">
        <v>544</v>
      </c>
      <c r="J305" s="28" t="s">
        <v>114</v>
      </c>
      <c r="K305" s="28" t="s">
        <v>89</v>
      </c>
      <c r="L305" s="28" t="s">
        <v>90</v>
      </c>
      <c r="M305" s="64" t="s">
        <v>1213</v>
      </c>
    </row>
    <row r="306" spans="1:13" x14ac:dyDescent="0.25">
      <c r="A306" s="28" t="s">
        <v>392</v>
      </c>
      <c r="B306" s="28" t="s">
        <v>533</v>
      </c>
      <c r="C306" s="29" t="s">
        <v>51</v>
      </c>
      <c r="D306" s="28" t="s">
        <v>575</v>
      </c>
      <c r="E306" s="28">
        <v>34.5</v>
      </c>
      <c r="F306" s="30">
        <v>15</v>
      </c>
      <c r="G306" s="31" t="s">
        <v>536</v>
      </c>
      <c r="H306" s="28">
        <v>15</v>
      </c>
      <c r="I306" s="28" t="s">
        <v>556</v>
      </c>
      <c r="J306" s="28" t="s">
        <v>114</v>
      </c>
      <c r="K306" s="28" t="s">
        <v>89</v>
      </c>
      <c r="L306" s="28" t="s">
        <v>93</v>
      </c>
      <c r="M306" s="64" t="s">
        <v>1213</v>
      </c>
    </row>
    <row r="307" spans="1:13" x14ac:dyDescent="0.25">
      <c r="A307" s="28" t="s">
        <v>392</v>
      </c>
      <c r="B307" s="28" t="s">
        <v>533</v>
      </c>
      <c r="C307" s="29" t="s">
        <v>576</v>
      </c>
      <c r="D307" s="28" t="s">
        <v>577</v>
      </c>
      <c r="E307" s="28">
        <v>34.5</v>
      </c>
      <c r="F307" s="30">
        <v>0.25</v>
      </c>
      <c r="G307" s="31" t="s">
        <v>578</v>
      </c>
      <c r="H307" s="28">
        <v>0.25</v>
      </c>
      <c r="I307" s="28" t="s">
        <v>579</v>
      </c>
      <c r="J307" s="28" t="s">
        <v>88</v>
      </c>
      <c r="K307" s="28" t="s">
        <v>109</v>
      </c>
      <c r="L307" s="28"/>
      <c r="M307" s="64" t="s">
        <v>1213</v>
      </c>
    </row>
    <row r="308" spans="1:13" x14ac:dyDescent="0.25">
      <c r="A308" s="28" t="s">
        <v>392</v>
      </c>
      <c r="B308" s="28" t="s">
        <v>533</v>
      </c>
      <c r="C308" s="29" t="s">
        <v>580</v>
      </c>
      <c r="D308" s="28" t="s">
        <v>581</v>
      </c>
      <c r="E308" s="28">
        <v>34.5</v>
      </c>
      <c r="F308" s="30">
        <v>25</v>
      </c>
      <c r="G308" s="31" t="s">
        <v>536</v>
      </c>
      <c r="H308" s="28">
        <v>15</v>
      </c>
      <c r="I308" s="28" t="s">
        <v>539</v>
      </c>
      <c r="J308" s="28" t="s">
        <v>114</v>
      </c>
      <c r="K308" s="28" t="s">
        <v>89</v>
      </c>
      <c r="L308" s="28" t="s">
        <v>90</v>
      </c>
      <c r="M308" s="64" t="s">
        <v>1213</v>
      </c>
    </row>
    <row r="309" spans="1:13" x14ac:dyDescent="0.25">
      <c r="A309" s="28" t="s">
        <v>392</v>
      </c>
      <c r="B309" s="28" t="s">
        <v>533</v>
      </c>
      <c r="C309" s="29" t="s">
        <v>580</v>
      </c>
      <c r="D309" s="28" t="s">
        <v>581</v>
      </c>
      <c r="E309" s="28">
        <v>34.5</v>
      </c>
      <c r="F309" s="30">
        <v>25</v>
      </c>
      <c r="G309" s="31" t="s">
        <v>549</v>
      </c>
      <c r="H309" s="28">
        <v>10</v>
      </c>
      <c r="I309" s="28" t="s">
        <v>539</v>
      </c>
      <c r="J309" s="28" t="s">
        <v>114</v>
      </c>
      <c r="K309" s="28" t="s">
        <v>109</v>
      </c>
      <c r="L309" s="28" t="s">
        <v>90</v>
      </c>
      <c r="M309" s="64" t="s">
        <v>1213</v>
      </c>
    </row>
    <row r="310" spans="1:13" x14ac:dyDescent="0.25">
      <c r="A310" s="28" t="s">
        <v>392</v>
      </c>
      <c r="B310" s="28" t="s">
        <v>533</v>
      </c>
      <c r="C310" s="29" t="s">
        <v>582</v>
      </c>
      <c r="D310" s="28" t="s">
        <v>583</v>
      </c>
      <c r="E310" s="28">
        <v>34.5</v>
      </c>
      <c r="F310" s="30">
        <v>5</v>
      </c>
      <c r="G310" s="31" t="s">
        <v>536</v>
      </c>
      <c r="H310" s="28">
        <v>5</v>
      </c>
      <c r="I310" s="28" t="s">
        <v>544</v>
      </c>
      <c r="J310" s="28" t="s">
        <v>114</v>
      </c>
      <c r="K310" s="28" t="s">
        <v>89</v>
      </c>
      <c r="L310" s="28" t="s">
        <v>90</v>
      </c>
      <c r="M310" s="64" t="s">
        <v>1213</v>
      </c>
    </row>
    <row r="311" spans="1:13" x14ac:dyDescent="0.25">
      <c r="A311" s="28" t="s">
        <v>392</v>
      </c>
      <c r="B311" s="28" t="s">
        <v>533</v>
      </c>
      <c r="C311" s="29" t="s">
        <v>278</v>
      </c>
      <c r="D311" s="28" t="s">
        <v>584</v>
      </c>
      <c r="E311" s="28">
        <v>34.5</v>
      </c>
      <c r="F311" s="30">
        <v>10</v>
      </c>
      <c r="G311" s="31" t="s">
        <v>536</v>
      </c>
      <c r="H311" s="28">
        <v>5</v>
      </c>
      <c r="I311" s="28" t="s">
        <v>539</v>
      </c>
      <c r="J311" s="28" t="s">
        <v>88</v>
      </c>
      <c r="K311" s="28" t="s">
        <v>89</v>
      </c>
      <c r="L311" s="28" t="s">
        <v>90</v>
      </c>
      <c r="M311" s="64" t="s">
        <v>1213</v>
      </c>
    </row>
    <row r="312" spans="1:13" x14ac:dyDescent="0.25">
      <c r="A312" s="28" t="s">
        <v>392</v>
      </c>
      <c r="B312" s="28" t="s">
        <v>533</v>
      </c>
      <c r="C312" s="29" t="s">
        <v>278</v>
      </c>
      <c r="D312" s="28" t="s">
        <v>584</v>
      </c>
      <c r="E312" s="28">
        <v>34.5</v>
      </c>
      <c r="F312" s="30">
        <v>10</v>
      </c>
      <c r="G312" s="31" t="s">
        <v>549</v>
      </c>
      <c r="H312" s="28">
        <v>5</v>
      </c>
      <c r="I312" s="28" t="s">
        <v>539</v>
      </c>
      <c r="J312" s="28" t="s">
        <v>114</v>
      </c>
      <c r="K312" s="28" t="s">
        <v>109</v>
      </c>
      <c r="L312" s="28" t="s">
        <v>90</v>
      </c>
      <c r="M312" s="64" t="s">
        <v>1213</v>
      </c>
    </row>
    <row r="313" spans="1:13" x14ac:dyDescent="0.25">
      <c r="A313" s="28" t="s">
        <v>392</v>
      </c>
      <c r="B313" s="28" t="s">
        <v>533</v>
      </c>
      <c r="C313" s="29" t="s">
        <v>28</v>
      </c>
      <c r="D313" s="28" t="s">
        <v>585</v>
      </c>
      <c r="E313" s="28">
        <v>34.5</v>
      </c>
      <c r="F313" s="30">
        <v>10</v>
      </c>
      <c r="G313" s="31" t="s">
        <v>536</v>
      </c>
      <c r="H313" s="28">
        <v>10</v>
      </c>
      <c r="I313" s="28" t="s">
        <v>550</v>
      </c>
      <c r="J313" s="28" t="s">
        <v>114</v>
      </c>
      <c r="K313" s="28" t="s">
        <v>89</v>
      </c>
      <c r="L313" s="28" t="s">
        <v>90</v>
      </c>
      <c r="M313" s="64" t="s">
        <v>1213</v>
      </c>
    </row>
    <row r="314" spans="1:13" x14ac:dyDescent="0.25">
      <c r="A314" s="28" t="s">
        <v>392</v>
      </c>
      <c r="B314" s="28" t="s">
        <v>533</v>
      </c>
      <c r="C314" s="29" t="s">
        <v>586</v>
      </c>
      <c r="D314" s="28" t="s">
        <v>587</v>
      </c>
      <c r="E314" s="28">
        <v>34.5</v>
      </c>
      <c r="F314" s="30">
        <v>1.5</v>
      </c>
      <c r="G314" s="31" t="s">
        <v>536</v>
      </c>
      <c r="H314" s="28">
        <v>1.5</v>
      </c>
      <c r="I314" s="28" t="s">
        <v>550</v>
      </c>
      <c r="J314" s="28" t="s">
        <v>88</v>
      </c>
      <c r="K314" s="28" t="s">
        <v>89</v>
      </c>
      <c r="L314" s="28" t="s">
        <v>90</v>
      </c>
      <c r="M314" s="64" t="s">
        <v>1213</v>
      </c>
    </row>
    <row r="315" spans="1:13" x14ac:dyDescent="0.25">
      <c r="A315" s="28" t="s">
        <v>392</v>
      </c>
      <c r="B315" s="28" t="s">
        <v>533</v>
      </c>
      <c r="C315" s="29" t="s">
        <v>588</v>
      </c>
      <c r="D315" s="28" t="s">
        <v>589</v>
      </c>
      <c r="E315" s="28">
        <v>34.5</v>
      </c>
      <c r="F315" s="30">
        <v>25</v>
      </c>
      <c r="G315" s="31" t="s">
        <v>549</v>
      </c>
      <c r="H315" s="28">
        <v>15</v>
      </c>
      <c r="I315" s="28" t="s">
        <v>553</v>
      </c>
      <c r="J315" s="28" t="s">
        <v>114</v>
      </c>
      <c r="K315" s="28" t="s">
        <v>89</v>
      </c>
      <c r="L315" s="28" t="s">
        <v>90</v>
      </c>
      <c r="M315" s="64" t="s">
        <v>1213</v>
      </c>
    </row>
    <row r="316" spans="1:13" x14ac:dyDescent="0.25">
      <c r="A316" s="28" t="s">
        <v>392</v>
      </c>
      <c r="B316" s="28" t="s">
        <v>533</v>
      </c>
      <c r="C316" s="29" t="s">
        <v>588</v>
      </c>
      <c r="D316" s="28" t="s">
        <v>589</v>
      </c>
      <c r="E316" s="28">
        <v>34.5</v>
      </c>
      <c r="F316" s="30">
        <v>25</v>
      </c>
      <c r="G316" s="31" t="s">
        <v>536</v>
      </c>
      <c r="H316" s="28">
        <v>10</v>
      </c>
      <c r="I316" s="28" t="s">
        <v>544</v>
      </c>
      <c r="J316" s="28" t="s">
        <v>114</v>
      </c>
      <c r="K316" s="28" t="s">
        <v>89</v>
      </c>
      <c r="L316" s="28" t="s">
        <v>90</v>
      </c>
      <c r="M316" s="64" t="s">
        <v>1213</v>
      </c>
    </row>
    <row r="317" spans="1:13" x14ac:dyDescent="0.25">
      <c r="A317" s="28" t="s">
        <v>392</v>
      </c>
      <c r="B317" s="28" t="s">
        <v>533</v>
      </c>
      <c r="C317" s="29" t="s">
        <v>590</v>
      </c>
      <c r="D317" s="28" t="s">
        <v>591</v>
      </c>
      <c r="E317" s="28">
        <v>34.5</v>
      </c>
      <c r="F317" s="30">
        <v>10</v>
      </c>
      <c r="G317" s="31" t="s">
        <v>536</v>
      </c>
      <c r="H317" s="28">
        <v>10</v>
      </c>
      <c r="I317" s="28" t="s">
        <v>539</v>
      </c>
      <c r="J317" s="28" t="s">
        <v>114</v>
      </c>
      <c r="K317" s="28" t="s">
        <v>89</v>
      </c>
      <c r="L317" s="28" t="s">
        <v>90</v>
      </c>
      <c r="M317" s="64" t="s">
        <v>1213</v>
      </c>
    </row>
    <row r="318" spans="1:13" x14ac:dyDescent="0.25">
      <c r="A318" s="28" t="s">
        <v>5</v>
      </c>
      <c r="B318" s="28" t="s">
        <v>152</v>
      </c>
      <c r="C318" s="29" t="s">
        <v>592</v>
      </c>
      <c r="D318" s="28" t="s">
        <v>593</v>
      </c>
      <c r="E318" s="28">
        <v>34.5</v>
      </c>
      <c r="F318" s="30">
        <v>26</v>
      </c>
      <c r="G318" s="31" t="s">
        <v>382</v>
      </c>
      <c r="H318" s="28">
        <v>16</v>
      </c>
      <c r="I318" s="28" t="s">
        <v>594</v>
      </c>
      <c r="J318" s="28" t="s">
        <v>88</v>
      </c>
      <c r="K318" s="28" t="s">
        <v>89</v>
      </c>
      <c r="L318" s="28" t="s">
        <v>90</v>
      </c>
      <c r="M318" s="64" t="s">
        <v>1213</v>
      </c>
    </row>
    <row r="319" spans="1:13" x14ac:dyDescent="0.25">
      <c r="A319" s="28" t="s">
        <v>5</v>
      </c>
      <c r="B319" s="28" t="s">
        <v>152</v>
      </c>
      <c r="C319" s="29" t="s">
        <v>592</v>
      </c>
      <c r="D319" s="28" t="s">
        <v>593</v>
      </c>
      <c r="E319" s="28">
        <v>34.5</v>
      </c>
      <c r="F319" s="30">
        <v>26</v>
      </c>
      <c r="G319" s="31" t="s">
        <v>595</v>
      </c>
      <c r="H319" s="28">
        <v>10</v>
      </c>
      <c r="I319" s="28" t="s">
        <v>596</v>
      </c>
      <c r="J319" s="28" t="s">
        <v>88</v>
      </c>
      <c r="K319" s="28" t="s">
        <v>89</v>
      </c>
      <c r="L319" s="28" t="s">
        <v>90</v>
      </c>
      <c r="M319" s="64" t="s">
        <v>1213</v>
      </c>
    </row>
    <row r="320" spans="1:13" x14ac:dyDescent="0.25">
      <c r="A320" s="28" t="s">
        <v>5</v>
      </c>
      <c r="B320" s="28" t="s">
        <v>152</v>
      </c>
      <c r="C320" s="29" t="s">
        <v>597</v>
      </c>
      <c r="D320" s="28" t="s">
        <v>598</v>
      </c>
      <c r="E320" s="28">
        <v>34.5</v>
      </c>
      <c r="F320" s="30">
        <v>10</v>
      </c>
      <c r="G320" s="31" t="s">
        <v>382</v>
      </c>
      <c r="H320" s="28">
        <v>10</v>
      </c>
      <c r="I320" s="28" t="s">
        <v>596</v>
      </c>
      <c r="J320" s="28" t="s">
        <v>88</v>
      </c>
      <c r="K320" s="28" t="s">
        <v>89</v>
      </c>
      <c r="L320" s="28" t="s">
        <v>90</v>
      </c>
      <c r="M320" s="64" t="s">
        <v>1213</v>
      </c>
    </row>
    <row r="321" spans="1:13" x14ac:dyDescent="0.25">
      <c r="A321" s="28" t="s">
        <v>5</v>
      </c>
      <c r="B321" s="28" t="s">
        <v>152</v>
      </c>
      <c r="C321" s="29" t="s">
        <v>599</v>
      </c>
      <c r="D321" s="28" t="s">
        <v>600</v>
      </c>
      <c r="E321" s="28">
        <v>34.5</v>
      </c>
      <c r="F321" s="30">
        <v>10</v>
      </c>
      <c r="G321" s="31" t="s">
        <v>382</v>
      </c>
      <c r="H321" s="28">
        <v>10</v>
      </c>
      <c r="I321" s="28" t="s">
        <v>596</v>
      </c>
      <c r="J321" s="28" t="s">
        <v>88</v>
      </c>
      <c r="K321" s="28" t="s">
        <v>89</v>
      </c>
      <c r="L321" s="28" t="s">
        <v>90</v>
      </c>
      <c r="M321" s="64" t="s">
        <v>1213</v>
      </c>
    </row>
    <row r="322" spans="1:13" x14ac:dyDescent="0.25">
      <c r="A322" s="28" t="s">
        <v>5</v>
      </c>
      <c r="B322" s="28" t="s">
        <v>152</v>
      </c>
      <c r="C322" s="29" t="s">
        <v>601</v>
      </c>
      <c r="D322" s="28" t="s">
        <v>602</v>
      </c>
      <c r="E322" s="28">
        <v>34.5</v>
      </c>
      <c r="F322" s="30">
        <v>5</v>
      </c>
      <c r="G322" s="31" t="s">
        <v>382</v>
      </c>
      <c r="H322" s="28">
        <v>5</v>
      </c>
      <c r="I322" s="28" t="s">
        <v>603</v>
      </c>
      <c r="J322" s="28" t="s">
        <v>88</v>
      </c>
      <c r="K322" s="28" t="s">
        <v>89</v>
      </c>
      <c r="L322" s="28" t="s">
        <v>90</v>
      </c>
      <c r="M322" s="64" t="s">
        <v>1213</v>
      </c>
    </row>
    <row r="323" spans="1:13" x14ac:dyDescent="0.25">
      <c r="A323" s="28" t="s">
        <v>5</v>
      </c>
      <c r="B323" s="28" t="s">
        <v>152</v>
      </c>
      <c r="C323" s="29" t="s">
        <v>604</v>
      </c>
      <c r="D323" s="28" t="s">
        <v>605</v>
      </c>
      <c r="E323" s="28">
        <v>34.5</v>
      </c>
      <c r="F323" s="30">
        <v>20</v>
      </c>
      <c r="G323" s="31" t="s">
        <v>382</v>
      </c>
      <c r="H323" s="28">
        <v>10</v>
      </c>
      <c r="I323" s="28" t="s">
        <v>596</v>
      </c>
      <c r="J323" s="28" t="s">
        <v>88</v>
      </c>
      <c r="K323" s="28" t="s">
        <v>89</v>
      </c>
      <c r="L323" s="28" t="s">
        <v>90</v>
      </c>
      <c r="M323" s="64" t="s">
        <v>1213</v>
      </c>
    </row>
    <row r="324" spans="1:13" x14ac:dyDescent="0.25">
      <c r="A324" s="28" t="s">
        <v>5</v>
      </c>
      <c r="B324" s="28" t="s">
        <v>152</v>
      </c>
      <c r="C324" s="29" t="s">
        <v>604</v>
      </c>
      <c r="D324" s="28" t="s">
        <v>605</v>
      </c>
      <c r="E324" s="28">
        <v>34.5</v>
      </c>
      <c r="F324" s="30">
        <v>20</v>
      </c>
      <c r="G324" s="31" t="s">
        <v>595</v>
      </c>
      <c r="H324" s="28">
        <v>10</v>
      </c>
      <c r="I324" s="28" t="s">
        <v>596</v>
      </c>
      <c r="J324" s="28" t="s">
        <v>88</v>
      </c>
      <c r="K324" s="28" t="s">
        <v>89</v>
      </c>
      <c r="L324" s="28" t="s">
        <v>90</v>
      </c>
      <c r="M324" s="64" t="s">
        <v>1213</v>
      </c>
    </row>
    <row r="325" spans="1:13" x14ac:dyDescent="0.25">
      <c r="A325" s="28" t="s">
        <v>5</v>
      </c>
      <c r="B325" s="28" t="s">
        <v>152</v>
      </c>
      <c r="C325" s="29" t="s">
        <v>606</v>
      </c>
      <c r="D325" s="28" t="s">
        <v>607</v>
      </c>
      <c r="E325" s="28">
        <v>34.5</v>
      </c>
      <c r="F325" s="30">
        <v>10</v>
      </c>
      <c r="G325" s="31" t="s">
        <v>382</v>
      </c>
      <c r="H325" s="28">
        <v>10</v>
      </c>
      <c r="I325" s="28" t="s">
        <v>596</v>
      </c>
      <c r="J325" s="28" t="s">
        <v>88</v>
      </c>
      <c r="K325" s="28" t="s">
        <v>89</v>
      </c>
      <c r="L325" s="28" t="s">
        <v>90</v>
      </c>
      <c r="M325" s="64" t="s">
        <v>1213</v>
      </c>
    </row>
    <row r="326" spans="1:13" x14ac:dyDescent="0.25">
      <c r="A326" s="28" t="s">
        <v>5</v>
      </c>
      <c r="B326" s="28" t="s">
        <v>152</v>
      </c>
      <c r="C326" s="29" t="s">
        <v>608</v>
      </c>
      <c r="D326" s="28" t="s">
        <v>609</v>
      </c>
      <c r="E326" s="28">
        <v>34.5</v>
      </c>
      <c r="F326" s="30">
        <v>5</v>
      </c>
      <c r="G326" s="31" t="s">
        <v>382</v>
      </c>
      <c r="H326" s="28">
        <v>5</v>
      </c>
      <c r="I326" s="28" t="s">
        <v>603</v>
      </c>
      <c r="J326" s="28" t="s">
        <v>88</v>
      </c>
      <c r="K326" s="28" t="s">
        <v>89</v>
      </c>
      <c r="L326" s="28" t="s">
        <v>90</v>
      </c>
      <c r="M326" s="64" t="s">
        <v>1213</v>
      </c>
    </row>
    <row r="327" spans="1:13" x14ac:dyDescent="0.25">
      <c r="A327" s="28" t="s">
        <v>5</v>
      </c>
      <c r="B327" s="28" t="s">
        <v>152</v>
      </c>
      <c r="C327" s="29" t="s">
        <v>610</v>
      </c>
      <c r="D327" s="28" t="s">
        <v>611</v>
      </c>
      <c r="E327" s="28">
        <v>34.5</v>
      </c>
      <c r="F327" s="30">
        <v>20</v>
      </c>
      <c r="G327" s="31" t="s">
        <v>382</v>
      </c>
      <c r="H327" s="28">
        <v>10</v>
      </c>
      <c r="I327" s="28" t="s">
        <v>596</v>
      </c>
      <c r="J327" s="28" t="s">
        <v>88</v>
      </c>
      <c r="K327" s="28" t="s">
        <v>89</v>
      </c>
      <c r="L327" s="28" t="s">
        <v>90</v>
      </c>
      <c r="M327" s="64" t="s">
        <v>1213</v>
      </c>
    </row>
    <row r="328" spans="1:13" x14ac:dyDescent="0.25">
      <c r="A328" s="28" t="s">
        <v>5</v>
      </c>
      <c r="B328" s="28" t="s">
        <v>152</v>
      </c>
      <c r="C328" s="29" t="s">
        <v>610</v>
      </c>
      <c r="D328" s="28" t="s">
        <v>611</v>
      </c>
      <c r="E328" s="28">
        <v>34.5</v>
      </c>
      <c r="F328" s="30">
        <v>20</v>
      </c>
      <c r="G328" s="31" t="s">
        <v>595</v>
      </c>
      <c r="H328" s="28">
        <v>10</v>
      </c>
      <c r="I328" s="28" t="s">
        <v>596</v>
      </c>
      <c r="J328" s="28" t="s">
        <v>88</v>
      </c>
      <c r="K328" s="28" t="s">
        <v>89</v>
      </c>
      <c r="L328" s="28" t="s">
        <v>93</v>
      </c>
      <c r="M328" s="64" t="s">
        <v>1213</v>
      </c>
    </row>
    <row r="329" spans="1:13" x14ac:dyDescent="0.25">
      <c r="A329" s="28" t="s">
        <v>5</v>
      </c>
      <c r="B329" s="28" t="s">
        <v>152</v>
      </c>
      <c r="C329" s="29" t="s">
        <v>50</v>
      </c>
      <c r="D329" s="28" t="s">
        <v>612</v>
      </c>
      <c r="E329" s="28">
        <v>34.5</v>
      </c>
      <c r="F329" s="30">
        <v>10</v>
      </c>
      <c r="G329" s="31" t="s">
        <v>382</v>
      </c>
      <c r="H329" s="28">
        <v>10</v>
      </c>
      <c r="I329" s="28" t="s">
        <v>596</v>
      </c>
      <c r="J329" s="28" t="s">
        <v>88</v>
      </c>
      <c r="K329" s="28" t="s">
        <v>89</v>
      </c>
      <c r="L329" s="28" t="s">
        <v>93</v>
      </c>
      <c r="M329" s="64" t="s">
        <v>1213</v>
      </c>
    </row>
    <row r="330" spans="1:13" x14ac:dyDescent="0.25">
      <c r="A330" s="28" t="s">
        <v>5</v>
      </c>
      <c r="B330" s="28" t="s">
        <v>152</v>
      </c>
      <c r="C330" s="29" t="s">
        <v>613</v>
      </c>
      <c r="D330" s="28" t="s">
        <v>614</v>
      </c>
      <c r="E330" s="28">
        <v>34.5</v>
      </c>
      <c r="F330" s="30">
        <v>10</v>
      </c>
      <c r="G330" s="31" t="s">
        <v>382</v>
      </c>
      <c r="H330" s="28">
        <v>10</v>
      </c>
      <c r="I330" s="28" t="s">
        <v>596</v>
      </c>
      <c r="J330" s="28" t="s">
        <v>88</v>
      </c>
      <c r="K330" s="28" t="s">
        <v>89</v>
      </c>
      <c r="L330" s="28" t="s">
        <v>90</v>
      </c>
      <c r="M330" s="64" t="s">
        <v>1213</v>
      </c>
    </row>
    <row r="331" spans="1:13" x14ac:dyDescent="0.25">
      <c r="A331" s="28" t="s">
        <v>5</v>
      </c>
      <c r="B331" s="28" t="s">
        <v>152</v>
      </c>
      <c r="C331" s="29" t="s">
        <v>615</v>
      </c>
      <c r="D331" s="28" t="s">
        <v>616</v>
      </c>
      <c r="E331" s="28">
        <v>34.5</v>
      </c>
      <c r="F331" s="30">
        <v>15</v>
      </c>
      <c r="G331" s="31" t="s">
        <v>382</v>
      </c>
      <c r="H331" s="28">
        <v>15</v>
      </c>
      <c r="I331" s="28" t="s">
        <v>617</v>
      </c>
      <c r="J331" s="28" t="s">
        <v>88</v>
      </c>
      <c r="K331" s="28" t="s">
        <v>89</v>
      </c>
      <c r="L331" s="28" t="s">
        <v>90</v>
      </c>
      <c r="M331" s="64" t="s">
        <v>1213</v>
      </c>
    </row>
    <row r="332" spans="1:13" x14ac:dyDescent="0.25">
      <c r="A332" s="28" t="s">
        <v>5</v>
      </c>
      <c r="B332" s="28" t="s">
        <v>152</v>
      </c>
      <c r="C332" s="29" t="s">
        <v>618</v>
      </c>
      <c r="D332" s="28" t="s">
        <v>619</v>
      </c>
      <c r="E332" s="28">
        <v>34.5</v>
      </c>
      <c r="F332" s="30">
        <v>10</v>
      </c>
      <c r="G332" s="31" t="s">
        <v>382</v>
      </c>
      <c r="H332" s="28">
        <v>10</v>
      </c>
      <c r="I332" s="28" t="s">
        <v>596</v>
      </c>
      <c r="J332" s="28" t="s">
        <v>88</v>
      </c>
      <c r="K332" s="28" t="s">
        <v>89</v>
      </c>
      <c r="L332" s="28" t="s">
        <v>90</v>
      </c>
      <c r="M332" s="64" t="s">
        <v>1213</v>
      </c>
    </row>
    <row r="333" spans="1:13" x14ac:dyDescent="0.25">
      <c r="A333" s="28" t="s">
        <v>5</v>
      </c>
      <c r="B333" s="28" t="s">
        <v>152</v>
      </c>
      <c r="C333" s="29" t="s">
        <v>620</v>
      </c>
      <c r="D333" s="28" t="s">
        <v>621</v>
      </c>
      <c r="E333" s="28">
        <v>34.5</v>
      </c>
      <c r="F333" s="30">
        <v>5</v>
      </c>
      <c r="G333" s="31" t="s">
        <v>382</v>
      </c>
      <c r="H333" s="28">
        <v>5</v>
      </c>
      <c r="I333" s="28" t="s">
        <v>603</v>
      </c>
      <c r="J333" s="28" t="s">
        <v>88</v>
      </c>
      <c r="K333" s="28" t="s">
        <v>109</v>
      </c>
      <c r="L333" s="28" t="s">
        <v>90</v>
      </c>
      <c r="M333" s="64" t="s">
        <v>1213</v>
      </c>
    </row>
    <row r="334" spans="1:13" x14ac:dyDescent="0.25">
      <c r="A334" s="28" t="s">
        <v>5</v>
      </c>
      <c r="B334" s="28" t="s">
        <v>152</v>
      </c>
      <c r="C334" s="29" t="s">
        <v>622</v>
      </c>
      <c r="D334" s="28" t="s">
        <v>623</v>
      </c>
      <c r="E334" s="28">
        <v>34.5</v>
      </c>
      <c r="F334" s="30">
        <v>10</v>
      </c>
      <c r="G334" s="31" t="s">
        <v>382</v>
      </c>
      <c r="H334" s="28">
        <v>10</v>
      </c>
      <c r="I334" s="28" t="s">
        <v>596</v>
      </c>
      <c r="J334" s="28" t="s">
        <v>88</v>
      </c>
      <c r="K334" s="28" t="s">
        <v>89</v>
      </c>
      <c r="L334" s="28" t="s">
        <v>90</v>
      </c>
      <c r="M334" s="64" t="s">
        <v>1213</v>
      </c>
    </row>
    <row r="335" spans="1:13" x14ac:dyDescent="0.25">
      <c r="A335" s="28" t="s">
        <v>5</v>
      </c>
      <c r="B335" s="28" t="s">
        <v>152</v>
      </c>
      <c r="C335" s="29" t="s">
        <v>624</v>
      </c>
      <c r="D335" s="28" t="s">
        <v>625</v>
      </c>
      <c r="E335" s="28">
        <v>34.5</v>
      </c>
      <c r="F335" s="30">
        <v>20</v>
      </c>
      <c r="G335" s="31" t="s">
        <v>382</v>
      </c>
      <c r="H335" s="28">
        <v>10</v>
      </c>
      <c r="I335" s="28" t="s">
        <v>596</v>
      </c>
      <c r="J335" s="28" t="s">
        <v>88</v>
      </c>
      <c r="K335" s="28" t="s">
        <v>89</v>
      </c>
      <c r="L335" s="28" t="s">
        <v>90</v>
      </c>
      <c r="M335" s="64" t="s">
        <v>1213</v>
      </c>
    </row>
    <row r="336" spans="1:13" x14ac:dyDescent="0.25">
      <c r="A336" s="28" t="s">
        <v>5</v>
      </c>
      <c r="B336" s="28" t="s">
        <v>152</v>
      </c>
      <c r="C336" s="29" t="s">
        <v>624</v>
      </c>
      <c r="D336" s="28" t="s">
        <v>625</v>
      </c>
      <c r="E336" s="28">
        <v>34.5</v>
      </c>
      <c r="F336" s="30">
        <v>20</v>
      </c>
      <c r="G336" s="31" t="s">
        <v>595</v>
      </c>
      <c r="H336" s="28">
        <v>10</v>
      </c>
      <c r="I336" s="28" t="s">
        <v>596</v>
      </c>
      <c r="J336" s="28" t="s">
        <v>88</v>
      </c>
      <c r="K336" s="28" t="s">
        <v>89</v>
      </c>
      <c r="L336" s="28" t="s">
        <v>90</v>
      </c>
      <c r="M336" s="64" t="s">
        <v>1213</v>
      </c>
    </row>
    <row r="337" spans="1:13" x14ac:dyDescent="0.25">
      <c r="A337" s="28" t="s">
        <v>5</v>
      </c>
      <c r="B337" s="28" t="s">
        <v>152</v>
      </c>
      <c r="C337" s="29" t="s">
        <v>626</v>
      </c>
      <c r="D337" s="28" t="s">
        <v>627</v>
      </c>
      <c r="E337" s="28">
        <v>34.5</v>
      </c>
      <c r="F337" s="30">
        <v>2.5</v>
      </c>
      <c r="G337" s="31" t="s">
        <v>382</v>
      </c>
      <c r="H337" s="28">
        <v>2.5</v>
      </c>
      <c r="I337" s="28" t="s">
        <v>628</v>
      </c>
      <c r="J337" s="28" t="s">
        <v>88</v>
      </c>
      <c r="K337" s="28" t="s">
        <v>89</v>
      </c>
      <c r="L337" s="28" t="s">
        <v>90</v>
      </c>
      <c r="M337" s="64" t="s">
        <v>1213</v>
      </c>
    </row>
    <row r="338" spans="1:13" x14ac:dyDescent="0.25">
      <c r="A338" s="28" t="s">
        <v>5</v>
      </c>
      <c r="B338" s="28" t="s">
        <v>152</v>
      </c>
      <c r="C338" s="29" t="s">
        <v>629</v>
      </c>
      <c r="D338" s="28" t="s">
        <v>630</v>
      </c>
      <c r="E338" s="28">
        <v>34.5</v>
      </c>
      <c r="F338" s="30">
        <v>3</v>
      </c>
      <c r="G338" s="31" t="s">
        <v>382</v>
      </c>
      <c r="H338" s="28">
        <v>3</v>
      </c>
      <c r="I338" s="28" t="s">
        <v>631</v>
      </c>
      <c r="J338" s="28" t="s">
        <v>88</v>
      </c>
      <c r="K338" s="28" t="s">
        <v>89</v>
      </c>
      <c r="L338" s="28" t="s">
        <v>90</v>
      </c>
      <c r="M338" s="64" t="s">
        <v>1213</v>
      </c>
    </row>
    <row r="339" spans="1:13" x14ac:dyDescent="0.25">
      <c r="A339" s="28" t="s">
        <v>5</v>
      </c>
      <c r="B339" s="28" t="s">
        <v>152</v>
      </c>
      <c r="C339" s="29" t="s">
        <v>632</v>
      </c>
      <c r="D339" s="28" t="s">
        <v>633</v>
      </c>
      <c r="E339" s="28">
        <v>34.5</v>
      </c>
      <c r="F339" s="30">
        <v>10</v>
      </c>
      <c r="G339" s="31" t="s">
        <v>382</v>
      </c>
      <c r="H339" s="28">
        <v>10</v>
      </c>
      <c r="I339" s="28" t="s">
        <v>596</v>
      </c>
      <c r="J339" s="28" t="s">
        <v>88</v>
      </c>
      <c r="K339" s="28" t="s">
        <v>89</v>
      </c>
      <c r="L339" s="28" t="s">
        <v>90</v>
      </c>
      <c r="M339" s="64" t="s">
        <v>1213</v>
      </c>
    </row>
    <row r="340" spans="1:13" x14ac:dyDescent="0.25">
      <c r="A340" s="28" t="s">
        <v>634</v>
      </c>
      <c r="B340" s="28" t="s">
        <v>151</v>
      </c>
      <c r="C340" s="29" t="s">
        <v>635</v>
      </c>
      <c r="D340" s="28" t="s">
        <v>636</v>
      </c>
      <c r="E340" s="28">
        <v>34.5</v>
      </c>
      <c r="F340" s="30">
        <v>11.11</v>
      </c>
      <c r="G340" s="31" t="s">
        <v>637</v>
      </c>
      <c r="H340" s="28">
        <v>10</v>
      </c>
      <c r="I340" s="28" t="s">
        <v>638</v>
      </c>
      <c r="J340" s="28" t="s">
        <v>88</v>
      </c>
      <c r="K340" s="28" t="s">
        <v>89</v>
      </c>
      <c r="L340" s="28" t="s">
        <v>90</v>
      </c>
      <c r="M340" s="64" t="s">
        <v>1213</v>
      </c>
    </row>
    <row r="341" spans="1:13" x14ac:dyDescent="0.25">
      <c r="A341" s="28" t="s">
        <v>634</v>
      </c>
      <c r="B341" s="28" t="s">
        <v>151</v>
      </c>
      <c r="C341" s="29" t="s">
        <v>635</v>
      </c>
      <c r="D341" s="28" t="s">
        <v>636</v>
      </c>
      <c r="E341" s="28">
        <v>34.5</v>
      </c>
      <c r="F341" s="30">
        <v>11.11</v>
      </c>
      <c r="G341" s="31" t="s">
        <v>639</v>
      </c>
      <c r="H341" s="28">
        <v>10</v>
      </c>
      <c r="I341" s="28" t="s">
        <v>640</v>
      </c>
      <c r="J341" s="28" t="s">
        <v>88</v>
      </c>
      <c r="K341" s="28" t="s">
        <v>109</v>
      </c>
      <c r="L341" s="28" t="s">
        <v>90</v>
      </c>
      <c r="M341" s="64" t="s">
        <v>1213</v>
      </c>
    </row>
    <row r="342" spans="1:13" x14ac:dyDescent="0.25">
      <c r="A342" s="28" t="s">
        <v>634</v>
      </c>
      <c r="B342" s="28" t="s">
        <v>151</v>
      </c>
      <c r="C342" s="29" t="s">
        <v>641</v>
      </c>
      <c r="D342" s="28" t="s">
        <v>642</v>
      </c>
      <c r="E342" s="28">
        <v>34.5</v>
      </c>
      <c r="F342" s="30"/>
      <c r="G342" s="31"/>
      <c r="H342" s="28"/>
      <c r="I342" s="28" t="s">
        <v>643</v>
      </c>
      <c r="J342" s="28"/>
      <c r="K342" s="16" t="s">
        <v>746</v>
      </c>
      <c r="L342" s="28"/>
      <c r="M342" s="64" t="s">
        <v>1213</v>
      </c>
    </row>
    <row r="343" spans="1:13" x14ac:dyDescent="0.25">
      <c r="A343" s="28" t="s">
        <v>634</v>
      </c>
      <c r="B343" s="28" t="s">
        <v>151</v>
      </c>
      <c r="C343" s="29" t="s">
        <v>644</v>
      </c>
      <c r="D343" s="28" t="s">
        <v>645</v>
      </c>
      <c r="E343" s="28">
        <v>34.5</v>
      </c>
      <c r="F343" s="30">
        <v>11.11</v>
      </c>
      <c r="G343" s="31" t="s">
        <v>637</v>
      </c>
      <c r="H343" s="28">
        <v>10</v>
      </c>
      <c r="I343" s="28" t="s">
        <v>638</v>
      </c>
      <c r="J343" s="28" t="s">
        <v>114</v>
      </c>
      <c r="K343" s="28" t="s">
        <v>89</v>
      </c>
      <c r="L343" s="28" t="s">
        <v>90</v>
      </c>
      <c r="M343" s="64" t="s">
        <v>1213</v>
      </c>
    </row>
    <row r="344" spans="1:13" x14ac:dyDescent="0.25">
      <c r="A344" s="28" t="s">
        <v>634</v>
      </c>
      <c r="B344" s="28" t="s">
        <v>151</v>
      </c>
      <c r="C344" s="29" t="s">
        <v>646</v>
      </c>
      <c r="D344" s="28" t="s">
        <v>645</v>
      </c>
      <c r="E344" s="28">
        <v>34.5</v>
      </c>
      <c r="F344" s="30">
        <v>11.11</v>
      </c>
      <c r="G344" s="31" t="s">
        <v>647</v>
      </c>
      <c r="H344" s="28">
        <v>10</v>
      </c>
      <c r="I344" s="28" t="s">
        <v>640</v>
      </c>
      <c r="J344" s="28" t="s">
        <v>88</v>
      </c>
      <c r="K344" s="28" t="s">
        <v>109</v>
      </c>
      <c r="L344" s="28" t="s">
        <v>90</v>
      </c>
      <c r="M344" s="64" t="s">
        <v>1213</v>
      </c>
    </row>
    <row r="345" spans="1:13" x14ac:dyDescent="0.25">
      <c r="A345" s="28" t="s">
        <v>634</v>
      </c>
      <c r="B345" s="28" t="s">
        <v>151</v>
      </c>
      <c r="C345" s="29" t="s">
        <v>646</v>
      </c>
      <c r="D345" s="28" t="s">
        <v>648</v>
      </c>
      <c r="E345" s="28">
        <v>34.5</v>
      </c>
      <c r="F345" s="30">
        <v>11.11</v>
      </c>
      <c r="G345" s="31" t="s">
        <v>637</v>
      </c>
      <c r="H345" s="28">
        <v>10</v>
      </c>
      <c r="I345" s="28" t="s">
        <v>640</v>
      </c>
      <c r="J345" s="28" t="s">
        <v>88</v>
      </c>
      <c r="K345" s="28" t="s">
        <v>109</v>
      </c>
      <c r="L345" s="28" t="s">
        <v>90</v>
      </c>
      <c r="M345" s="64" t="s">
        <v>1213</v>
      </c>
    </row>
    <row r="346" spans="1:13" x14ac:dyDescent="0.25">
      <c r="A346" s="28" t="s">
        <v>634</v>
      </c>
      <c r="B346" s="28" t="s">
        <v>151</v>
      </c>
      <c r="C346" s="29" t="s">
        <v>649</v>
      </c>
      <c r="D346" s="28" t="s">
        <v>650</v>
      </c>
      <c r="E346" s="28">
        <v>34.5</v>
      </c>
      <c r="F346" s="30">
        <v>11.11</v>
      </c>
      <c r="G346" s="31" t="s">
        <v>637</v>
      </c>
      <c r="H346" s="28">
        <v>10</v>
      </c>
      <c r="I346" s="28" t="s">
        <v>638</v>
      </c>
      <c r="J346" s="28" t="s">
        <v>114</v>
      </c>
      <c r="K346" s="28" t="s">
        <v>89</v>
      </c>
      <c r="L346" s="28" t="s">
        <v>90</v>
      </c>
      <c r="M346" s="64" t="s">
        <v>1213</v>
      </c>
    </row>
    <row r="347" spans="1:13" x14ac:dyDescent="0.25">
      <c r="A347" s="28" t="s">
        <v>634</v>
      </c>
      <c r="B347" s="28" t="s">
        <v>151</v>
      </c>
      <c r="C347" s="29" t="s">
        <v>651</v>
      </c>
      <c r="D347" s="28" t="s">
        <v>652</v>
      </c>
      <c r="E347" s="28">
        <v>34.5</v>
      </c>
      <c r="F347" s="30">
        <v>11.11</v>
      </c>
      <c r="G347" s="31" t="s">
        <v>637</v>
      </c>
      <c r="H347" s="28">
        <v>10</v>
      </c>
      <c r="I347" s="28" t="s">
        <v>638</v>
      </c>
      <c r="J347" s="28" t="s">
        <v>114</v>
      </c>
      <c r="K347" s="28" t="s">
        <v>89</v>
      </c>
      <c r="L347" s="28" t="s">
        <v>90</v>
      </c>
      <c r="M347" s="64" t="s">
        <v>1213</v>
      </c>
    </row>
    <row r="348" spans="1:13" x14ac:dyDescent="0.25">
      <c r="A348" s="28" t="s">
        <v>634</v>
      </c>
      <c r="B348" s="28" t="s">
        <v>151</v>
      </c>
      <c r="C348" s="29" t="s">
        <v>653</v>
      </c>
      <c r="D348" s="28" t="s">
        <v>654</v>
      </c>
      <c r="E348" s="28">
        <v>34.5</v>
      </c>
      <c r="F348" s="30">
        <v>11.11</v>
      </c>
      <c r="G348" s="31" t="s">
        <v>637</v>
      </c>
      <c r="H348" s="28">
        <v>10</v>
      </c>
      <c r="I348" s="28" t="s">
        <v>638</v>
      </c>
      <c r="J348" s="28" t="s">
        <v>114</v>
      </c>
      <c r="K348" s="28" t="s">
        <v>89</v>
      </c>
      <c r="L348" s="28" t="s">
        <v>90</v>
      </c>
      <c r="M348" s="64" t="s">
        <v>1213</v>
      </c>
    </row>
    <row r="349" spans="1:13" x14ac:dyDescent="0.25">
      <c r="A349" s="28" t="s">
        <v>634</v>
      </c>
      <c r="B349" s="28" t="s">
        <v>151</v>
      </c>
      <c r="C349" s="29" t="s">
        <v>653</v>
      </c>
      <c r="D349" s="28" t="s">
        <v>654</v>
      </c>
      <c r="E349" s="28">
        <v>34.5</v>
      </c>
      <c r="F349" s="30">
        <v>11.11</v>
      </c>
      <c r="G349" s="31" t="s">
        <v>647</v>
      </c>
      <c r="H349" s="28">
        <v>10</v>
      </c>
      <c r="I349" s="28" t="s">
        <v>638</v>
      </c>
      <c r="J349" s="28" t="s">
        <v>114</v>
      </c>
      <c r="K349" s="28" t="s">
        <v>89</v>
      </c>
      <c r="L349" s="28" t="s">
        <v>90</v>
      </c>
      <c r="M349" s="64" t="s">
        <v>1213</v>
      </c>
    </row>
    <row r="350" spans="1:13" x14ac:dyDescent="0.25">
      <c r="A350" s="28" t="s">
        <v>634</v>
      </c>
      <c r="B350" s="28" t="s">
        <v>151</v>
      </c>
      <c r="C350" s="29" t="s">
        <v>655</v>
      </c>
      <c r="D350" s="28" t="s">
        <v>656</v>
      </c>
      <c r="E350" s="28">
        <v>34.5</v>
      </c>
      <c r="F350" s="30">
        <v>5.55</v>
      </c>
      <c r="G350" s="31" t="s">
        <v>637</v>
      </c>
      <c r="H350" s="28">
        <v>5</v>
      </c>
      <c r="I350" s="28" t="s">
        <v>640</v>
      </c>
      <c r="J350" s="28" t="s">
        <v>88</v>
      </c>
      <c r="K350" s="28" t="s">
        <v>109</v>
      </c>
      <c r="L350" s="28" t="s">
        <v>90</v>
      </c>
      <c r="M350" s="64" t="s">
        <v>1213</v>
      </c>
    </row>
    <row r="351" spans="1:13" x14ac:dyDescent="0.25">
      <c r="A351" s="28" t="s">
        <v>634</v>
      </c>
      <c r="B351" s="28" t="s">
        <v>151</v>
      </c>
      <c r="C351" s="29" t="s">
        <v>657</v>
      </c>
      <c r="D351" s="28" t="s">
        <v>658</v>
      </c>
      <c r="E351" s="28">
        <v>34.5</v>
      </c>
      <c r="F351" s="30">
        <v>11.11</v>
      </c>
      <c r="G351" s="31" t="s">
        <v>637</v>
      </c>
      <c r="H351" s="28">
        <v>10</v>
      </c>
      <c r="I351" s="28" t="s">
        <v>640</v>
      </c>
      <c r="J351" s="28" t="s">
        <v>88</v>
      </c>
      <c r="K351" s="28" t="s">
        <v>109</v>
      </c>
      <c r="L351" s="28" t="s">
        <v>90</v>
      </c>
      <c r="M351" s="64" t="s">
        <v>1213</v>
      </c>
    </row>
    <row r="352" spans="1:13" x14ac:dyDescent="0.25">
      <c r="A352" s="28" t="s">
        <v>634</v>
      </c>
      <c r="B352" s="28" t="s">
        <v>151</v>
      </c>
      <c r="C352" s="29" t="s">
        <v>659</v>
      </c>
      <c r="D352" s="28" t="s">
        <v>660</v>
      </c>
      <c r="E352" s="28">
        <v>34.5</v>
      </c>
      <c r="F352" s="30">
        <v>11.11</v>
      </c>
      <c r="G352" s="31" t="s">
        <v>637</v>
      </c>
      <c r="H352" s="28">
        <v>10</v>
      </c>
      <c r="I352" s="28" t="s">
        <v>640</v>
      </c>
      <c r="J352" s="28" t="s">
        <v>88</v>
      </c>
      <c r="K352" s="28" t="s">
        <v>109</v>
      </c>
      <c r="L352" s="28" t="s">
        <v>90</v>
      </c>
      <c r="M352" s="64" t="s">
        <v>1213</v>
      </c>
    </row>
    <row r="353" spans="1:13" x14ac:dyDescent="0.25">
      <c r="A353" s="28" t="s">
        <v>634</v>
      </c>
      <c r="B353" s="28" t="s">
        <v>151</v>
      </c>
      <c r="C353" s="29" t="s">
        <v>661</v>
      </c>
      <c r="D353" s="28" t="s">
        <v>662</v>
      </c>
      <c r="E353" s="28">
        <v>34.5</v>
      </c>
      <c r="F353" s="30">
        <v>11.11</v>
      </c>
      <c r="G353" s="31" t="s">
        <v>637</v>
      </c>
      <c r="H353" s="28">
        <v>10</v>
      </c>
      <c r="I353" s="28" t="s">
        <v>638</v>
      </c>
      <c r="J353" s="28" t="s">
        <v>114</v>
      </c>
      <c r="K353" s="28" t="s">
        <v>89</v>
      </c>
      <c r="L353" s="28" t="s">
        <v>90</v>
      </c>
      <c r="M353" s="64" t="s">
        <v>1213</v>
      </c>
    </row>
    <row r="354" spans="1:13" x14ac:dyDescent="0.25">
      <c r="A354" s="28" t="s">
        <v>634</v>
      </c>
      <c r="B354" s="28" t="s">
        <v>151</v>
      </c>
      <c r="C354" s="29" t="s">
        <v>661</v>
      </c>
      <c r="D354" s="28" t="s">
        <v>662</v>
      </c>
      <c r="E354" s="28">
        <v>34.5</v>
      </c>
      <c r="F354" s="30">
        <v>11.11</v>
      </c>
      <c r="G354" s="31" t="s">
        <v>647</v>
      </c>
      <c r="H354" s="28">
        <v>10</v>
      </c>
      <c r="I354" s="28" t="s">
        <v>638</v>
      </c>
      <c r="J354" s="28" t="s">
        <v>114</v>
      </c>
      <c r="K354" s="28" t="s">
        <v>89</v>
      </c>
      <c r="L354" s="28" t="s">
        <v>90</v>
      </c>
      <c r="M354" s="64" t="s">
        <v>1213</v>
      </c>
    </row>
    <row r="355" spans="1:13" x14ac:dyDescent="0.25">
      <c r="A355" s="28" t="s">
        <v>634</v>
      </c>
      <c r="B355" s="28" t="s">
        <v>151</v>
      </c>
      <c r="C355" s="29" t="s">
        <v>663</v>
      </c>
      <c r="D355" s="28" t="s">
        <v>664</v>
      </c>
      <c r="E355" s="28">
        <v>34.5</v>
      </c>
      <c r="F355" s="30">
        <v>11.11</v>
      </c>
      <c r="G355" s="31" t="s">
        <v>637</v>
      </c>
      <c r="H355" s="28">
        <v>10</v>
      </c>
      <c r="I355" s="28" t="s">
        <v>638</v>
      </c>
      <c r="J355" s="28" t="s">
        <v>88</v>
      </c>
      <c r="K355" s="28" t="s">
        <v>89</v>
      </c>
      <c r="L355" s="28" t="s">
        <v>90</v>
      </c>
      <c r="M355" s="64" t="s">
        <v>1213</v>
      </c>
    </row>
    <row r="356" spans="1:13" x14ac:dyDescent="0.25">
      <c r="A356" s="28" t="s">
        <v>634</v>
      </c>
      <c r="B356" s="28" t="s">
        <v>151</v>
      </c>
      <c r="C356" s="29" t="s">
        <v>663</v>
      </c>
      <c r="D356" s="28" t="s">
        <v>664</v>
      </c>
      <c r="E356" s="28">
        <v>34.5</v>
      </c>
      <c r="F356" s="30">
        <v>5.55</v>
      </c>
      <c r="G356" s="31" t="s">
        <v>647</v>
      </c>
      <c r="H356" s="28">
        <v>5</v>
      </c>
      <c r="I356" s="28" t="s">
        <v>640</v>
      </c>
      <c r="J356" s="28" t="s">
        <v>88</v>
      </c>
      <c r="K356" s="28" t="s">
        <v>109</v>
      </c>
      <c r="L356" s="28" t="s">
        <v>90</v>
      </c>
      <c r="M356" s="64" t="s">
        <v>1213</v>
      </c>
    </row>
    <row r="357" spans="1:13" x14ac:dyDescent="0.25">
      <c r="A357" s="28" t="s">
        <v>372</v>
      </c>
      <c r="B357" s="28" t="s">
        <v>134</v>
      </c>
      <c r="C357" s="29" t="s">
        <v>665</v>
      </c>
      <c r="D357" s="28" t="s">
        <v>666</v>
      </c>
      <c r="E357" s="28">
        <v>34.5</v>
      </c>
      <c r="F357" s="30">
        <v>2.76</v>
      </c>
      <c r="G357" s="31" t="s">
        <v>667</v>
      </c>
      <c r="H357" s="28">
        <v>3</v>
      </c>
      <c r="I357" s="28" t="s">
        <v>668</v>
      </c>
      <c r="J357" s="28" t="s">
        <v>88</v>
      </c>
      <c r="K357" s="28" t="s">
        <v>89</v>
      </c>
      <c r="L357" s="28" t="s">
        <v>90</v>
      </c>
      <c r="M357" s="64" t="s">
        <v>1213</v>
      </c>
    </row>
    <row r="358" spans="1:13" x14ac:dyDescent="0.25">
      <c r="A358" s="28" t="s">
        <v>392</v>
      </c>
      <c r="B358" s="28" t="s">
        <v>147</v>
      </c>
      <c r="C358" s="29" t="s">
        <v>669</v>
      </c>
      <c r="D358" s="28" t="s">
        <v>670</v>
      </c>
      <c r="E358" s="28">
        <v>34.5</v>
      </c>
      <c r="F358" s="30">
        <v>0</v>
      </c>
      <c r="G358" s="31" t="s">
        <v>301</v>
      </c>
      <c r="H358" s="28">
        <v>5</v>
      </c>
      <c r="I358" s="28" t="s">
        <v>671</v>
      </c>
      <c r="J358" s="28" t="s">
        <v>88</v>
      </c>
      <c r="K358" s="28" t="s">
        <v>109</v>
      </c>
      <c r="L358" s="28" t="s">
        <v>90</v>
      </c>
      <c r="M358" s="64" t="s">
        <v>1213</v>
      </c>
    </row>
    <row r="359" spans="1:13" x14ac:dyDescent="0.25">
      <c r="A359" s="28" t="s">
        <v>392</v>
      </c>
      <c r="B359" s="28" t="s">
        <v>147</v>
      </c>
      <c r="C359" s="29" t="s">
        <v>672</v>
      </c>
      <c r="D359" s="28" t="s">
        <v>673</v>
      </c>
      <c r="E359" s="28">
        <v>34.5</v>
      </c>
      <c r="F359" s="30">
        <v>0</v>
      </c>
      <c r="G359" s="31" t="s">
        <v>301</v>
      </c>
      <c r="H359" s="28">
        <v>3</v>
      </c>
      <c r="I359" s="28" t="s">
        <v>674</v>
      </c>
      <c r="J359" s="28" t="s">
        <v>88</v>
      </c>
      <c r="K359" s="28" t="s">
        <v>109</v>
      </c>
      <c r="L359" s="28" t="s">
        <v>90</v>
      </c>
      <c r="M359" s="64" t="s">
        <v>1213</v>
      </c>
    </row>
    <row r="360" spans="1:13" x14ac:dyDescent="0.25">
      <c r="A360" s="28" t="s">
        <v>392</v>
      </c>
      <c r="B360" s="28" t="s">
        <v>147</v>
      </c>
      <c r="C360" s="29" t="s">
        <v>675</v>
      </c>
      <c r="D360" s="28" t="s">
        <v>676</v>
      </c>
      <c r="E360" s="28">
        <v>34.5</v>
      </c>
      <c r="F360" s="30">
        <v>13.5</v>
      </c>
      <c r="G360" s="31" t="s">
        <v>301</v>
      </c>
      <c r="H360" s="28">
        <v>15</v>
      </c>
      <c r="I360" s="28" t="s">
        <v>677</v>
      </c>
      <c r="J360" s="28" t="s">
        <v>114</v>
      </c>
      <c r="K360" s="28" t="s">
        <v>89</v>
      </c>
      <c r="L360" s="28" t="s">
        <v>90</v>
      </c>
      <c r="M360" s="64" t="s">
        <v>1213</v>
      </c>
    </row>
    <row r="361" spans="1:13" x14ac:dyDescent="0.25">
      <c r="A361" s="28" t="s">
        <v>392</v>
      </c>
      <c r="B361" s="28" t="s">
        <v>147</v>
      </c>
      <c r="C361" s="29" t="s">
        <v>678</v>
      </c>
      <c r="D361" s="28" t="s">
        <v>679</v>
      </c>
      <c r="E361" s="28">
        <v>34.5</v>
      </c>
      <c r="F361" s="30">
        <v>4.5</v>
      </c>
      <c r="G361" s="31" t="s">
        <v>301</v>
      </c>
      <c r="H361" s="28">
        <v>5</v>
      </c>
      <c r="I361" s="28" t="s">
        <v>671</v>
      </c>
      <c r="J361" s="28" t="s">
        <v>114</v>
      </c>
      <c r="K361" s="28" t="s">
        <v>89</v>
      </c>
      <c r="L361" s="28" t="s">
        <v>90</v>
      </c>
      <c r="M361" s="64" t="s">
        <v>1213</v>
      </c>
    </row>
    <row r="362" spans="1:13" x14ac:dyDescent="0.25">
      <c r="A362" s="28" t="s">
        <v>392</v>
      </c>
      <c r="B362" s="28" t="s">
        <v>147</v>
      </c>
      <c r="C362" s="29" t="s">
        <v>680</v>
      </c>
      <c r="D362" s="28" t="s">
        <v>681</v>
      </c>
      <c r="E362" s="28">
        <v>34.5</v>
      </c>
      <c r="F362" s="30">
        <v>2.25</v>
      </c>
      <c r="G362" s="31" t="s">
        <v>301</v>
      </c>
      <c r="H362" s="28">
        <v>2.5</v>
      </c>
      <c r="I362" s="28" t="s">
        <v>682</v>
      </c>
      <c r="J362" s="28" t="s">
        <v>114</v>
      </c>
      <c r="K362" s="28" t="s">
        <v>89</v>
      </c>
      <c r="L362" s="28" t="s">
        <v>90</v>
      </c>
      <c r="M362" s="64" t="s">
        <v>1213</v>
      </c>
    </row>
    <row r="363" spans="1:13" x14ac:dyDescent="0.25">
      <c r="A363" s="28" t="s">
        <v>392</v>
      </c>
      <c r="B363" s="28" t="s">
        <v>147</v>
      </c>
      <c r="C363" s="29" t="s">
        <v>683</v>
      </c>
      <c r="D363" s="28" t="s">
        <v>684</v>
      </c>
      <c r="E363" s="28">
        <v>34.5</v>
      </c>
      <c r="F363" s="30">
        <v>9</v>
      </c>
      <c r="G363" s="31" t="s">
        <v>301</v>
      </c>
      <c r="H363" s="28">
        <v>10</v>
      </c>
      <c r="I363" s="28" t="s">
        <v>685</v>
      </c>
      <c r="J363" s="28" t="s">
        <v>114</v>
      </c>
      <c r="K363" s="28" t="s">
        <v>89</v>
      </c>
      <c r="L363" s="28" t="s">
        <v>90</v>
      </c>
      <c r="M363" s="64" t="s">
        <v>1213</v>
      </c>
    </row>
    <row r="364" spans="1:13" x14ac:dyDescent="0.25">
      <c r="A364" s="28" t="s">
        <v>392</v>
      </c>
      <c r="B364" s="28" t="s">
        <v>147</v>
      </c>
      <c r="C364" s="29" t="s">
        <v>683</v>
      </c>
      <c r="D364" s="28" t="s">
        <v>684</v>
      </c>
      <c r="E364" s="28">
        <v>34.5</v>
      </c>
      <c r="F364" s="30">
        <v>13.5</v>
      </c>
      <c r="G364" s="31" t="s">
        <v>326</v>
      </c>
      <c r="H364" s="28">
        <v>15</v>
      </c>
      <c r="I364" s="28" t="s">
        <v>686</v>
      </c>
      <c r="J364" s="28" t="s">
        <v>114</v>
      </c>
      <c r="K364" s="28" t="s">
        <v>89</v>
      </c>
      <c r="L364" s="28" t="s">
        <v>90</v>
      </c>
      <c r="M364" s="64" t="s">
        <v>1213</v>
      </c>
    </row>
    <row r="365" spans="1:13" x14ac:dyDescent="0.25">
      <c r="A365" s="28" t="s">
        <v>392</v>
      </c>
      <c r="B365" s="28" t="s">
        <v>147</v>
      </c>
      <c r="C365" s="29" t="s">
        <v>687</v>
      </c>
      <c r="D365" s="28" t="s">
        <v>688</v>
      </c>
      <c r="E365" s="28">
        <v>34.5</v>
      </c>
      <c r="F365" s="30">
        <v>9</v>
      </c>
      <c r="G365" s="31" t="s">
        <v>301</v>
      </c>
      <c r="H365" s="28">
        <v>10</v>
      </c>
      <c r="I365" s="28" t="s">
        <v>689</v>
      </c>
      <c r="J365" s="28" t="s">
        <v>114</v>
      </c>
      <c r="K365" s="28" t="s">
        <v>89</v>
      </c>
      <c r="L365" s="28" t="s">
        <v>90</v>
      </c>
      <c r="M365" s="64" t="s">
        <v>1213</v>
      </c>
    </row>
    <row r="366" spans="1:13" x14ac:dyDescent="0.25">
      <c r="A366" s="28" t="s">
        <v>392</v>
      </c>
      <c r="B366" s="28" t="s">
        <v>147</v>
      </c>
      <c r="C366" s="29" t="s">
        <v>690</v>
      </c>
      <c r="D366" s="28" t="s">
        <v>691</v>
      </c>
      <c r="E366" s="28">
        <v>34.5</v>
      </c>
      <c r="F366" s="30">
        <v>9</v>
      </c>
      <c r="G366" s="31" t="s">
        <v>301</v>
      </c>
      <c r="H366" s="28">
        <v>10</v>
      </c>
      <c r="I366" s="28" t="s">
        <v>692</v>
      </c>
      <c r="J366" s="28" t="s">
        <v>114</v>
      </c>
      <c r="K366" s="28" t="s">
        <v>89</v>
      </c>
      <c r="L366" s="28" t="s">
        <v>90</v>
      </c>
      <c r="M366" s="64" t="s">
        <v>1213</v>
      </c>
    </row>
    <row r="367" spans="1:13" x14ac:dyDescent="0.25">
      <c r="A367" s="28" t="s">
        <v>392</v>
      </c>
      <c r="B367" s="28" t="s">
        <v>147</v>
      </c>
      <c r="C367" s="29" t="s">
        <v>690</v>
      </c>
      <c r="D367" s="28" t="s">
        <v>691</v>
      </c>
      <c r="E367" s="28">
        <v>34.5</v>
      </c>
      <c r="F367" s="30">
        <v>13.5</v>
      </c>
      <c r="G367" s="31" t="s">
        <v>326</v>
      </c>
      <c r="H367" s="28">
        <v>15</v>
      </c>
      <c r="I367" s="28" t="s">
        <v>686</v>
      </c>
      <c r="J367" s="28" t="s">
        <v>114</v>
      </c>
      <c r="K367" s="28" t="s">
        <v>89</v>
      </c>
      <c r="L367" s="28" t="s">
        <v>90</v>
      </c>
      <c r="M367" s="64" t="s">
        <v>1213</v>
      </c>
    </row>
    <row r="368" spans="1:13" x14ac:dyDescent="0.25">
      <c r="A368" s="28" t="s">
        <v>392</v>
      </c>
      <c r="B368" s="28" t="s">
        <v>147</v>
      </c>
      <c r="C368" s="29" t="s">
        <v>693</v>
      </c>
      <c r="D368" s="28" t="s">
        <v>694</v>
      </c>
      <c r="E368" s="28">
        <v>34.5</v>
      </c>
      <c r="F368" s="30">
        <v>1.8</v>
      </c>
      <c r="G368" s="31" t="s">
        <v>301</v>
      </c>
      <c r="H368" s="28">
        <v>2</v>
      </c>
      <c r="I368" s="28" t="s">
        <v>695</v>
      </c>
      <c r="J368" s="28" t="s">
        <v>114</v>
      </c>
      <c r="K368" s="28" t="s">
        <v>89</v>
      </c>
      <c r="L368" s="28" t="s">
        <v>90</v>
      </c>
      <c r="M368" s="64" t="s">
        <v>1213</v>
      </c>
    </row>
    <row r="369" spans="1:13" x14ac:dyDescent="0.25">
      <c r="A369" s="28" t="s">
        <v>392</v>
      </c>
      <c r="B369" s="28" t="s">
        <v>147</v>
      </c>
      <c r="C369" s="29" t="s">
        <v>696</v>
      </c>
      <c r="D369" s="28" t="s">
        <v>697</v>
      </c>
      <c r="E369" s="28">
        <v>34.5</v>
      </c>
      <c r="F369" s="30">
        <v>0.9</v>
      </c>
      <c r="G369" s="31" t="s">
        <v>301</v>
      </c>
      <c r="H369" s="28">
        <v>1</v>
      </c>
      <c r="I369" s="28" t="s">
        <v>698</v>
      </c>
      <c r="J369" s="28" t="s">
        <v>114</v>
      </c>
      <c r="K369" s="28" t="s">
        <v>89</v>
      </c>
      <c r="L369" s="28" t="s">
        <v>90</v>
      </c>
      <c r="M369" s="64" t="s">
        <v>1213</v>
      </c>
    </row>
    <row r="370" spans="1:13" x14ac:dyDescent="0.25">
      <c r="A370" s="28" t="s">
        <v>392</v>
      </c>
      <c r="B370" s="28" t="s">
        <v>147</v>
      </c>
      <c r="C370" s="29" t="s">
        <v>699</v>
      </c>
      <c r="D370" s="28" t="s">
        <v>700</v>
      </c>
      <c r="E370" s="28">
        <v>34.5</v>
      </c>
      <c r="F370" s="30">
        <v>4.5</v>
      </c>
      <c r="G370" s="31" t="s">
        <v>301</v>
      </c>
      <c r="H370" s="28">
        <v>5</v>
      </c>
      <c r="I370" s="28" t="s">
        <v>671</v>
      </c>
      <c r="J370" s="28" t="s">
        <v>114</v>
      </c>
      <c r="K370" s="28" t="s">
        <v>89</v>
      </c>
      <c r="L370" s="28" t="s">
        <v>90</v>
      </c>
      <c r="M370" s="64" t="s">
        <v>1213</v>
      </c>
    </row>
    <row r="371" spans="1:13" x14ac:dyDescent="0.25">
      <c r="A371" s="28" t="s">
        <v>392</v>
      </c>
      <c r="B371" s="28" t="s">
        <v>147</v>
      </c>
      <c r="C371" s="29" t="s">
        <v>701</v>
      </c>
      <c r="D371" s="28" t="s">
        <v>702</v>
      </c>
      <c r="E371" s="28">
        <v>34.5</v>
      </c>
      <c r="F371" s="30">
        <v>9</v>
      </c>
      <c r="G371" s="31" t="s">
        <v>301</v>
      </c>
      <c r="H371" s="28">
        <v>10</v>
      </c>
      <c r="I371" s="28" t="s">
        <v>692</v>
      </c>
      <c r="J371" s="28" t="s">
        <v>114</v>
      </c>
      <c r="K371" s="28" t="s">
        <v>89</v>
      </c>
      <c r="L371" s="28" t="s">
        <v>90</v>
      </c>
      <c r="M371" s="64" t="s">
        <v>1213</v>
      </c>
    </row>
    <row r="372" spans="1:13" x14ac:dyDescent="0.25">
      <c r="A372" s="28" t="s">
        <v>392</v>
      </c>
      <c r="B372" s="28" t="s">
        <v>147</v>
      </c>
      <c r="C372" s="29" t="s">
        <v>703</v>
      </c>
      <c r="D372" s="28" t="s">
        <v>704</v>
      </c>
      <c r="E372" s="28">
        <v>34.5</v>
      </c>
      <c r="F372" s="30">
        <v>0.45</v>
      </c>
      <c r="G372" s="31" t="s">
        <v>301</v>
      </c>
      <c r="H372" s="28">
        <v>0.5</v>
      </c>
      <c r="I372" s="28" t="s">
        <v>705</v>
      </c>
      <c r="J372" s="28" t="s">
        <v>114</v>
      </c>
      <c r="K372" s="28" t="s">
        <v>89</v>
      </c>
      <c r="L372" s="28" t="s">
        <v>90</v>
      </c>
      <c r="M372" s="64" t="s">
        <v>1213</v>
      </c>
    </row>
    <row r="373" spans="1:13" x14ac:dyDescent="0.25">
      <c r="A373" s="28" t="s">
        <v>392</v>
      </c>
      <c r="B373" s="28" t="s">
        <v>147</v>
      </c>
      <c r="C373" s="29" t="s">
        <v>706</v>
      </c>
      <c r="D373" s="28" t="s">
        <v>707</v>
      </c>
      <c r="E373" s="28">
        <v>34.5</v>
      </c>
      <c r="F373" s="30">
        <v>4.5</v>
      </c>
      <c r="G373" s="31" t="s">
        <v>301</v>
      </c>
      <c r="H373" s="28">
        <v>5</v>
      </c>
      <c r="I373" s="28" t="s">
        <v>671</v>
      </c>
      <c r="J373" s="28" t="s">
        <v>114</v>
      </c>
      <c r="K373" s="28" t="s">
        <v>89</v>
      </c>
      <c r="L373" s="28" t="s">
        <v>90</v>
      </c>
      <c r="M373" s="64" t="s">
        <v>1213</v>
      </c>
    </row>
    <row r="374" spans="1:13" x14ac:dyDescent="0.25">
      <c r="A374" s="28" t="s">
        <v>392</v>
      </c>
      <c r="B374" s="28" t="s">
        <v>147</v>
      </c>
      <c r="C374" s="29" t="s">
        <v>355</v>
      </c>
      <c r="D374" s="28" t="s">
        <v>708</v>
      </c>
      <c r="E374" s="28">
        <v>34.5</v>
      </c>
      <c r="F374" s="30">
        <v>9</v>
      </c>
      <c r="G374" s="31" t="s">
        <v>326</v>
      </c>
      <c r="H374" s="28">
        <v>10</v>
      </c>
      <c r="I374" s="28" t="s">
        <v>689</v>
      </c>
      <c r="J374" s="28" t="s">
        <v>114</v>
      </c>
      <c r="K374" s="28" t="s">
        <v>89</v>
      </c>
      <c r="L374" s="28" t="s">
        <v>90</v>
      </c>
      <c r="M374" s="64" t="s">
        <v>1213</v>
      </c>
    </row>
    <row r="375" spans="1:13" x14ac:dyDescent="0.25">
      <c r="A375" s="28" t="s">
        <v>392</v>
      </c>
      <c r="B375" s="28" t="s">
        <v>147</v>
      </c>
      <c r="C375" s="29" t="s">
        <v>355</v>
      </c>
      <c r="D375" s="28" t="s">
        <v>708</v>
      </c>
      <c r="E375" s="28">
        <v>34.5</v>
      </c>
      <c r="F375" s="30">
        <v>13.5</v>
      </c>
      <c r="G375" s="31" t="s">
        <v>301</v>
      </c>
      <c r="H375" s="28">
        <v>15</v>
      </c>
      <c r="I375" s="28" t="s">
        <v>677</v>
      </c>
      <c r="J375" s="28" t="s">
        <v>114</v>
      </c>
      <c r="K375" s="28" t="s">
        <v>89</v>
      </c>
      <c r="L375" s="28" t="s">
        <v>90</v>
      </c>
      <c r="M375" s="64" t="s">
        <v>1213</v>
      </c>
    </row>
    <row r="376" spans="1:13" x14ac:dyDescent="0.25">
      <c r="A376" s="28" t="s">
        <v>392</v>
      </c>
      <c r="B376" s="28" t="s">
        <v>147</v>
      </c>
      <c r="C376" s="29" t="s">
        <v>431</v>
      </c>
      <c r="D376" s="28" t="s">
        <v>709</v>
      </c>
      <c r="E376" s="28">
        <v>34.5</v>
      </c>
      <c r="F376" s="30">
        <v>9</v>
      </c>
      <c r="G376" s="31" t="s">
        <v>301</v>
      </c>
      <c r="H376" s="28">
        <v>10</v>
      </c>
      <c r="I376" s="28" t="s">
        <v>710</v>
      </c>
      <c r="J376" s="28" t="s">
        <v>114</v>
      </c>
      <c r="K376" s="28" t="s">
        <v>89</v>
      </c>
      <c r="L376" s="28" t="s">
        <v>90</v>
      </c>
      <c r="M376" s="64" t="s">
        <v>1213</v>
      </c>
    </row>
    <row r="377" spans="1:13" x14ac:dyDescent="0.25">
      <c r="A377" s="28" t="s">
        <v>392</v>
      </c>
      <c r="B377" s="28" t="s">
        <v>147</v>
      </c>
      <c r="C377" s="29" t="s">
        <v>711</v>
      </c>
      <c r="D377" s="28" t="s">
        <v>712</v>
      </c>
      <c r="E377" s="28">
        <v>34.5</v>
      </c>
      <c r="F377" s="30">
        <v>9</v>
      </c>
      <c r="G377" s="31" t="s">
        <v>301</v>
      </c>
      <c r="H377" s="28">
        <v>10</v>
      </c>
      <c r="I377" s="28" t="s">
        <v>689</v>
      </c>
      <c r="J377" s="28" t="s">
        <v>114</v>
      </c>
      <c r="K377" s="28" t="s">
        <v>89</v>
      </c>
      <c r="L377" s="28" t="s">
        <v>90</v>
      </c>
      <c r="M377" s="64" t="s">
        <v>1213</v>
      </c>
    </row>
    <row r="378" spans="1:13" x14ac:dyDescent="0.25">
      <c r="A378" s="28" t="s">
        <v>392</v>
      </c>
      <c r="B378" s="28" t="s">
        <v>147</v>
      </c>
      <c r="C378" s="29" t="s">
        <v>713</v>
      </c>
      <c r="D378" s="28" t="s">
        <v>714</v>
      </c>
      <c r="E378" s="28">
        <v>34.5</v>
      </c>
      <c r="F378" s="30">
        <v>4.5</v>
      </c>
      <c r="G378" s="31" t="s">
        <v>301</v>
      </c>
      <c r="H378" s="28">
        <v>5</v>
      </c>
      <c r="I378" s="28" t="s">
        <v>671</v>
      </c>
      <c r="J378" s="28" t="s">
        <v>114</v>
      </c>
      <c r="K378" s="28" t="s">
        <v>89</v>
      </c>
      <c r="L378" s="28" t="s">
        <v>90</v>
      </c>
      <c r="M378" s="64" t="s">
        <v>1213</v>
      </c>
    </row>
    <row r="379" spans="1:13" x14ac:dyDescent="0.25">
      <c r="A379" s="11" t="s">
        <v>392</v>
      </c>
      <c r="B379" s="11" t="s">
        <v>147</v>
      </c>
      <c r="C379" s="12" t="s">
        <v>715</v>
      </c>
      <c r="D379" s="9" t="s">
        <v>716</v>
      </c>
      <c r="E379" s="9">
        <v>34.5</v>
      </c>
      <c r="F379" s="36">
        <v>9</v>
      </c>
      <c r="G379" s="16" t="s">
        <v>301</v>
      </c>
      <c r="H379" s="13">
        <v>10</v>
      </c>
      <c r="I379" s="22" t="s">
        <v>710</v>
      </c>
      <c r="J379" s="13" t="s">
        <v>114</v>
      </c>
      <c r="K379" s="16" t="s">
        <v>89</v>
      </c>
      <c r="L379" s="16" t="s">
        <v>90</v>
      </c>
      <c r="M379" s="64" t="s">
        <v>1213</v>
      </c>
    </row>
    <row r="380" spans="1:13" x14ac:dyDescent="0.25">
      <c r="A380" s="9" t="s">
        <v>744</v>
      </c>
      <c r="B380" s="9" t="s">
        <v>146</v>
      </c>
      <c r="C380" s="10" t="s">
        <v>38</v>
      </c>
      <c r="D380" s="9" t="s">
        <v>745</v>
      </c>
      <c r="E380" s="9">
        <v>23.9</v>
      </c>
      <c r="F380" s="21">
        <v>0</v>
      </c>
      <c r="G380" s="16" t="s">
        <v>746</v>
      </c>
      <c r="H380" s="16" t="s">
        <v>746</v>
      </c>
      <c r="I380" s="16" t="s">
        <v>746</v>
      </c>
      <c r="J380" s="16" t="s">
        <v>746</v>
      </c>
      <c r="K380" s="16" t="s">
        <v>746</v>
      </c>
      <c r="L380" s="16" t="s">
        <v>746</v>
      </c>
      <c r="M380" s="64" t="s">
        <v>1213</v>
      </c>
    </row>
    <row r="381" spans="1:13" x14ac:dyDescent="0.25">
      <c r="A381" s="9" t="s">
        <v>744</v>
      </c>
      <c r="B381" s="9" t="s">
        <v>146</v>
      </c>
      <c r="C381" s="10" t="s">
        <v>39</v>
      </c>
      <c r="D381" s="9" t="s">
        <v>747</v>
      </c>
      <c r="E381" s="9">
        <v>23.9</v>
      </c>
      <c r="F381" s="21">
        <v>0</v>
      </c>
      <c r="G381" s="16" t="s">
        <v>746</v>
      </c>
      <c r="H381" s="16" t="s">
        <v>746</v>
      </c>
      <c r="I381" s="16" t="s">
        <v>746</v>
      </c>
      <c r="J381" s="16" t="s">
        <v>746</v>
      </c>
      <c r="K381" s="16" t="s">
        <v>746</v>
      </c>
      <c r="L381" s="16" t="s">
        <v>746</v>
      </c>
      <c r="M381" s="64" t="s">
        <v>1213</v>
      </c>
    </row>
    <row r="382" spans="1:13" x14ac:dyDescent="0.25">
      <c r="A382" s="9" t="s">
        <v>744</v>
      </c>
      <c r="B382" s="9" t="s">
        <v>146</v>
      </c>
      <c r="C382" s="10" t="s">
        <v>40</v>
      </c>
      <c r="D382" s="9" t="s">
        <v>748</v>
      </c>
      <c r="E382" s="9">
        <v>23.9</v>
      </c>
      <c r="F382" s="21">
        <v>0</v>
      </c>
      <c r="G382" s="16" t="s">
        <v>746</v>
      </c>
      <c r="H382" s="16" t="s">
        <v>746</v>
      </c>
      <c r="I382" s="16" t="s">
        <v>746</v>
      </c>
      <c r="J382" s="16" t="s">
        <v>746</v>
      </c>
      <c r="K382" s="16" t="s">
        <v>746</v>
      </c>
      <c r="L382" s="16" t="s">
        <v>746</v>
      </c>
      <c r="M382" s="64" t="s">
        <v>1213</v>
      </c>
    </row>
    <row r="383" spans="1:13" x14ac:dyDescent="0.25">
      <c r="A383" s="9" t="s">
        <v>744</v>
      </c>
      <c r="B383" s="9" t="s">
        <v>146</v>
      </c>
      <c r="C383" s="10" t="s">
        <v>749</v>
      </c>
      <c r="D383" s="9" t="s">
        <v>750</v>
      </c>
      <c r="E383" s="9">
        <v>23.9</v>
      </c>
      <c r="F383" s="21">
        <v>4.4000000000000004</v>
      </c>
      <c r="G383" s="16" t="s">
        <v>301</v>
      </c>
      <c r="H383" s="16">
        <v>5</v>
      </c>
      <c r="I383" s="16" t="s">
        <v>751</v>
      </c>
      <c r="J383" s="16" t="s">
        <v>114</v>
      </c>
      <c r="K383" s="16" t="s">
        <v>89</v>
      </c>
      <c r="L383" s="16" t="s">
        <v>90</v>
      </c>
      <c r="M383" s="64" t="s">
        <v>1213</v>
      </c>
    </row>
    <row r="384" spans="1:13" x14ac:dyDescent="0.25">
      <c r="A384" s="9" t="s">
        <v>744</v>
      </c>
      <c r="B384" s="9" t="s">
        <v>146</v>
      </c>
      <c r="C384" s="10" t="s">
        <v>749</v>
      </c>
      <c r="D384" s="9" t="s">
        <v>750</v>
      </c>
      <c r="E384" s="9">
        <v>23.9</v>
      </c>
      <c r="F384" s="21">
        <v>5.5</v>
      </c>
      <c r="G384" s="16" t="s">
        <v>326</v>
      </c>
      <c r="H384" s="16">
        <v>6.25</v>
      </c>
      <c r="I384" s="16" t="s">
        <v>752</v>
      </c>
      <c r="J384" s="16" t="s">
        <v>114</v>
      </c>
      <c r="K384" s="16" t="s">
        <v>89</v>
      </c>
      <c r="L384" s="16" t="s">
        <v>90</v>
      </c>
      <c r="M384" s="64" t="s">
        <v>1213</v>
      </c>
    </row>
    <row r="385" spans="1:13" x14ac:dyDescent="0.25">
      <c r="A385" s="9" t="s">
        <v>744</v>
      </c>
      <c r="B385" s="9" t="s">
        <v>146</v>
      </c>
      <c r="C385" s="10" t="s">
        <v>753</v>
      </c>
      <c r="D385" s="9" t="s">
        <v>754</v>
      </c>
      <c r="E385" s="9">
        <v>34.5</v>
      </c>
      <c r="F385" s="21">
        <v>4.4000000000000004</v>
      </c>
      <c r="G385" s="16" t="s">
        <v>301</v>
      </c>
      <c r="H385" s="16">
        <v>5</v>
      </c>
      <c r="I385" s="16" t="s">
        <v>755</v>
      </c>
      <c r="J385" s="16" t="s">
        <v>114</v>
      </c>
      <c r="K385" s="16" t="s">
        <v>89</v>
      </c>
      <c r="L385" s="16" t="s">
        <v>90</v>
      </c>
      <c r="M385" s="64" t="s">
        <v>1213</v>
      </c>
    </row>
    <row r="386" spans="1:13" x14ac:dyDescent="0.25">
      <c r="A386" s="9" t="s">
        <v>744</v>
      </c>
      <c r="B386" s="9" t="s">
        <v>146</v>
      </c>
      <c r="C386" s="10" t="s">
        <v>756</v>
      </c>
      <c r="D386" s="9" t="s">
        <v>757</v>
      </c>
      <c r="E386" s="9">
        <v>34.5</v>
      </c>
      <c r="F386" s="21">
        <v>2.33</v>
      </c>
      <c r="G386" s="16" t="s">
        <v>301</v>
      </c>
      <c r="H386" s="16">
        <v>2.65</v>
      </c>
      <c r="I386" s="16" t="s">
        <v>758</v>
      </c>
      <c r="J386" s="16" t="s">
        <v>114</v>
      </c>
      <c r="K386" s="16" t="s">
        <v>89</v>
      </c>
      <c r="L386" s="16" t="s">
        <v>90</v>
      </c>
      <c r="M386" s="64" t="s">
        <v>1213</v>
      </c>
    </row>
    <row r="387" spans="1:13" x14ac:dyDescent="0.25">
      <c r="A387" s="9" t="s">
        <v>744</v>
      </c>
      <c r="B387" s="9" t="s">
        <v>146</v>
      </c>
      <c r="C387" s="10" t="s">
        <v>759</v>
      </c>
      <c r="D387" s="9" t="s">
        <v>760</v>
      </c>
      <c r="E387" s="9">
        <v>34.5</v>
      </c>
      <c r="F387" s="21">
        <v>7.04</v>
      </c>
      <c r="G387" s="16" t="s">
        <v>301</v>
      </c>
      <c r="H387" s="16">
        <v>16</v>
      </c>
      <c r="I387" s="16" t="s">
        <v>761</v>
      </c>
      <c r="J387" s="16" t="s">
        <v>114</v>
      </c>
      <c r="K387" s="16" t="s">
        <v>89</v>
      </c>
      <c r="L387" s="16" t="s">
        <v>90</v>
      </c>
      <c r="M387" s="64" t="s">
        <v>1213</v>
      </c>
    </row>
    <row r="388" spans="1:13" x14ac:dyDescent="0.25">
      <c r="A388" s="9" t="s">
        <v>744</v>
      </c>
      <c r="B388" s="9" t="s">
        <v>146</v>
      </c>
      <c r="C388" s="10" t="s">
        <v>759</v>
      </c>
      <c r="D388" s="9" t="s">
        <v>760</v>
      </c>
      <c r="E388" s="9">
        <v>34.5</v>
      </c>
      <c r="F388" s="21">
        <v>6.16</v>
      </c>
      <c r="G388" s="16" t="s">
        <v>301</v>
      </c>
      <c r="H388" s="16">
        <v>10</v>
      </c>
      <c r="I388" s="16" t="s">
        <v>762</v>
      </c>
      <c r="J388" s="16" t="s">
        <v>114</v>
      </c>
      <c r="K388" s="16" t="s">
        <v>89</v>
      </c>
      <c r="L388" s="16" t="s">
        <v>90</v>
      </c>
      <c r="M388" s="64" t="s">
        <v>1213</v>
      </c>
    </row>
    <row r="389" spans="1:13" x14ac:dyDescent="0.25">
      <c r="A389" s="9" t="s">
        <v>744</v>
      </c>
      <c r="B389" s="9" t="s">
        <v>146</v>
      </c>
      <c r="C389" s="10" t="s">
        <v>759</v>
      </c>
      <c r="D389" s="9" t="s">
        <v>760</v>
      </c>
      <c r="E389" s="9">
        <v>24</v>
      </c>
      <c r="F389" s="21">
        <v>8.8000000000000007</v>
      </c>
      <c r="G389" s="16" t="s">
        <v>326</v>
      </c>
      <c r="H389" s="16">
        <v>10</v>
      </c>
      <c r="I389" s="16" t="s">
        <v>762</v>
      </c>
      <c r="J389" s="16" t="s">
        <v>114</v>
      </c>
      <c r="K389" s="16" t="s">
        <v>89</v>
      </c>
      <c r="L389" s="16" t="s">
        <v>90</v>
      </c>
      <c r="M389" s="64" t="s">
        <v>1213</v>
      </c>
    </row>
    <row r="390" spans="1:13" x14ac:dyDescent="0.25">
      <c r="A390" s="9" t="s">
        <v>744</v>
      </c>
      <c r="B390" s="9" t="s">
        <v>146</v>
      </c>
      <c r="C390" s="10" t="s">
        <v>41</v>
      </c>
      <c r="D390" s="9" t="s">
        <v>763</v>
      </c>
      <c r="E390" s="9">
        <v>23.9</v>
      </c>
      <c r="F390" s="21">
        <v>0</v>
      </c>
      <c r="G390" s="16" t="s">
        <v>746</v>
      </c>
      <c r="H390" s="16" t="s">
        <v>746</v>
      </c>
      <c r="I390" s="16" t="s">
        <v>746</v>
      </c>
      <c r="J390" s="16" t="s">
        <v>746</v>
      </c>
      <c r="K390" s="16" t="s">
        <v>746</v>
      </c>
      <c r="L390" s="16" t="s">
        <v>746</v>
      </c>
      <c r="M390" s="64" t="s">
        <v>1213</v>
      </c>
    </row>
    <row r="391" spans="1:13" x14ac:dyDescent="0.25">
      <c r="A391" s="9" t="s">
        <v>744</v>
      </c>
      <c r="B391" s="9" t="s">
        <v>146</v>
      </c>
      <c r="C391" s="10" t="s">
        <v>764</v>
      </c>
      <c r="D391" s="9" t="s">
        <v>765</v>
      </c>
      <c r="E391" s="9">
        <v>34.5</v>
      </c>
      <c r="F391" s="21">
        <v>2.2000000000000002</v>
      </c>
      <c r="G391" s="16" t="s">
        <v>301</v>
      </c>
      <c r="H391" s="16">
        <v>2.5</v>
      </c>
      <c r="I391" s="16" t="s">
        <v>766</v>
      </c>
      <c r="J391" s="16" t="s">
        <v>114</v>
      </c>
      <c r="K391" s="16" t="s">
        <v>89</v>
      </c>
      <c r="L391" s="16" t="s">
        <v>90</v>
      </c>
      <c r="M391" s="64" t="s">
        <v>1213</v>
      </c>
    </row>
    <row r="392" spans="1:13" x14ac:dyDescent="0.25">
      <c r="A392" s="9" t="s">
        <v>744</v>
      </c>
      <c r="B392" s="9" t="s">
        <v>146</v>
      </c>
      <c r="C392" s="10" t="s">
        <v>767</v>
      </c>
      <c r="D392" s="9" t="s">
        <v>768</v>
      </c>
      <c r="E392" s="9">
        <v>23.9</v>
      </c>
      <c r="F392" s="21">
        <v>5.87</v>
      </c>
      <c r="G392" s="16" t="s">
        <v>301</v>
      </c>
      <c r="H392" s="16">
        <v>6.67</v>
      </c>
      <c r="I392" s="16" t="s">
        <v>769</v>
      </c>
      <c r="J392" s="16" t="s">
        <v>114</v>
      </c>
      <c r="K392" s="16" t="s">
        <v>89</v>
      </c>
      <c r="L392" s="16" t="s">
        <v>90</v>
      </c>
      <c r="M392" s="64" t="s">
        <v>1213</v>
      </c>
    </row>
    <row r="393" spans="1:13" x14ac:dyDescent="0.25">
      <c r="A393" s="9" t="s">
        <v>744</v>
      </c>
      <c r="B393" s="9" t="s">
        <v>146</v>
      </c>
      <c r="C393" s="10" t="s">
        <v>42</v>
      </c>
      <c r="D393" s="9" t="s">
        <v>770</v>
      </c>
      <c r="E393" s="9">
        <v>23.9</v>
      </c>
      <c r="F393" s="21">
        <v>0</v>
      </c>
      <c r="G393" s="16" t="s">
        <v>746</v>
      </c>
      <c r="H393" s="16" t="s">
        <v>746</v>
      </c>
      <c r="I393" s="16" t="s">
        <v>746</v>
      </c>
      <c r="J393" s="16" t="s">
        <v>746</v>
      </c>
      <c r="K393" s="16" t="s">
        <v>746</v>
      </c>
      <c r="L393" s="16" t="s">
        <v>746</v>
      </c>
      <c r="M393" s="64" t="s">
        <v>1213</v>
      </c>
    </row>
    <row r="394" spans="1:13" x14ac:dyDescent="0.25">
      <c r="A394" s="9" t="s">
        <v>744</v>
      </c>
      <c r="B394" s="9" t="s">
        <v>146</v>
      </c>
      <c r="C394" s="10" t="s">
        <v>771</v>
      </c>
      <c r="D394" s="9" t="s">
        <v>772</v>
      </c>
      <c r="E394" s="9">
        <v>23.9</v>
      </c>
      <c r="F394" s="21">
        <v>5.5</v>
      </c>
      <c r="G394" s="16" t="s">
        <v>301</v>
      </c>
      <c r="H394" s="16">
        <v>6.25</v>
      </c>
      <c r="I394" s="16" t="s">
        <v>773</v>
      </c>
      <c r="J394" s="16" t="s">
        <v>114</v>
      </c>
      <c r="K394" s="16" t="s">
        <v>89</v>
      </c>
      <c r="L394" s="16" t="s">
        <v>90</v>
      </c>
      <c r="M394" s="64" t="s">
        <v>1213</v>
      </c>
    </row>
    <row r="395" spans="1:13" x14ac:dyDescent="0.25">
      <c r="A395" s="9" t="s">
        <v>744</v>
      </c>
      <c r="B395" s="9" t="s">
        <v>146</v>
      </c>
      <c r="C395" s="10" t="s">
        <v>774</v>
      </c>
      <c r="D395" s="9" t="s">
        <v>775</v>
      </c>
      <c r="E395" s="9">
        <v>34.5</v>
      </c>
      <c r="F395" s="21">
        <v>2.2000000000000002</v>
      </c>
      <c r="G395" s="16" t="s">
        <v>301</v>
      </c>
      <c r="H395" s="16">
        <v>2.5</v>
      </c>
      <c r="I395" s="16" t="s">
        <v>776</v>
      </c>
      <c r="J395" s="16" t="s">
        <v>114</v>
      </c>
      <c r="K395" s="16" t="s">
        <v>89</v>
      </c>
      <c r="L395" s="16" t="s">
        <v>90</v>
      </c>
      <c r="M395" s="64" t="s">
        <v>1213</v>
      </c>
    </row>
    <row r="396" spans="1:13" x14ac:dyDescent="0.25">
      <c r="A396" s="9" t="s">
        <v>744</v>
      </c>
      <c r="B396" s="9" t="s">
        <v>146</v>
      </c>
      <c r="C396" s="10" t="s">
        <v>777</v>
      </c>
      <c r="D396" s="9" t="s">
        <v>778</v>
      </c>
      <c r="E396" s="9">
        <v>23.9</v>
      </c>
      <c r="F396" s="21">
        <v>5.5</v>
      </c>
      <c r="G396" s="16" t="s">
        <v>301</v>
      </c>
      <c r="H396" s="16">
        <v>6.25</v>
      </c>
      <c r="I396" s="16" t="s">
        <v>779</v>
      </c>
      <c r="J396" s="16" t="s">
        <v>114</v>
      </c>
      <c r="K396" s="16" t="s">
        <v>89</v>
      </c>
      <c r="L396" s="16" t="s">
        <v>90</v>
      </c>
      <c r="M396" s="64" t="s">
        <v>1213</v>
      </c>
    </row>
    <row r="397" spans="1:13" x14ac:dyDescent="0.25">
      <c r="A397" s="9" t="s">
        <v>744</v>
      </c>
      <c r="B397" s="9" t="s">
        <v>146</v>
      </c>
      <c r="C397" s="10" t="s">
        <v>777</v>
      </c>
      <c r="D397" s="9" t="s">
        <v>778</v>
      </c>
      <c r="E397" s="9">
        <v>23.9</v>
      </c>
      <c r="F397" s="21">
        <v>5.5</v>
      </c>
      <c r="G397" s="16" t="s">
        <v>326</v>
      </c>
      <c r="H397" s="16">
        <v>6.25</v>
      </c>
      <c r="I397" s="16" t="s">
        <v>779</v>
      </c>
      <c r="J397" s="16" t="s">
        <v>114</v>
      </c>
      <c r="K397" s="16" t="s">
        <v>89</v>
      </c>
      <c r="L397" s="16" t="s">
        <v>90</v>
      </c>
      <c r="M397" s="64" t="s">
        <v>1213</v>
      </c>
    </row>
    <row r="398" spans="1:13" x14ac:dyDescent="0.25">
      <c r="A398" s="9" t="s">
        <v>126</v>
      </c>
      <c r="B398" s="9" t="s">
        <v>139</v>
      </c>
      <c r="C398" s="10" t="s">
        <v>780</v>
      </c>
      <c r="D398" s="9" t="s">
        <v>781</v>
      </c>
      <c r="E398" s="9">
        <v>13.8</v>
      </c>
      <c r="F398" s="21">
        <v>3</v>
      </c>
      <c r="G398" s="16" t="s">
        <v>782</v>
      </c>
      <c r="H398" s="16">
        <v>3</v>
      </c>
      <c r="I398" s="16" t="s">
        <v>783</v>
      </c>
      <c r="J398" s="16" t="s">
        <v>114</v>
      </c>
      <c r="K398" s="16" t="s">
        <v>89</v>
      </c>
      <c r="L398" s="16" t="s">
        <v>90</v>
      </c>
      <c r="M398" s="64" t="s">
        <v>1213</v>
      </c>
    </row>
    <row r="399" spans="1:13" x14ac:dyDescent="0.25">
      <c r="A399" s="9" t="s">
        <v>126</v>
      </c>
      <c r="B399" s="9" t="s">
        <v>139</v>
      </c>
      <c r="C399" s="10" t="s">
        <v>784</v>
      </c>
      <c r="D399" s="9" t="s">
        <v>785</v>
      </c>
      <c r="E399" s="9">
        <v>34.5</v>
      </c>
      <c r="F399" s="21">
        <v>67</v>
      </c>
      <c r="G399" s="16" t="s">
        <v>782</v>
      </c>
      <c r="H399" s="16">
        <v>16</v>
      </c>
      <c r="I399" s="16" t="s">
        <v>594</v>
      </c>
      <c r="J399" s="16" t="s">
        <v>114</v>
      </c>
      <c r="K399" s="16" t="s">
        <v>89</v>
      </c>
      <c r="L399" s="16" t="s">
        <v>90</v>
      </c>
      <c r="M399" s="64" t="s">
        <v>1213</v>
      </c>
    </row>
    <row r="400" spans="1:13" x14ac:dyDescent="0.25">
      <c r="A400" s="9" t="s">
        <v>126</v>
      </c>
      <c r="B400" s="9" t="s">
        <v>139</v>
      </c>
      <c r="C400" s="10" t="s">
        <v>784</v>
      </c>
      <c r="D400" s="9" t="s">
        <v>785</v>
      </c>
      <c r="E400" s="9">
        <v>34.5</v>
      </c>
      <c r="F400" s="21">
        <v>67</v>
      </c>
      <c r="G400" s="16" t="s">
        <v>786</v>
      </c>
      <c r="H400" s="16">
        <v>7</v>
      </c>
      <c r="I400" s="16" t="s">
        <v>787</v>
      </c>
      <c r="J400" s="16" t="s">
        <v>114</v>
      </c>
      <c r="K400" s="16" t="s">
        <v>89</v>
      </c>
      <c r="L400" s="16" t="s">
        <v>90</v>
      </c>
      <c r="M400" s="64" t="s">
        <v>1213</v>
      </c>
    </row>
    <row r="401" spans="1:13" x14ac:dyDescent="0.25">
      <c r="A401" s="9" t="s">
        <v>126</v>
      </c>
      <c r="B401" s="9" t="s">
        <v>139</v>
      </c>
      <c r="C401" s="10" t="s">
        <v>784</v>
      </c>
      <c r="D401" s="9" t="s">
        <v>785</v>
      </c>
      <c r="E401" s="9">
        <v>34.5</v>
      </c>
      <c r="F401" s="21">
        <v>67</v>
      </c>
      <c r="G401" s="16" t="s">
        <v>788</v>
      </c>
      <c r="H401" s="16">
        <v>16</v>
      </c>
      <c r="I401" s="16" t="s">
        <v>594</v>
      </c>
      <c r="J401" s="16" t="s">
        <v>114</v>
      </c>
      <c r="K401" s="16" t="s">
        <v>89</v>
      </c>
      <c r="L401" s="16" t="s">
        <v>90</v>
      </c>
      <c r="M401" s="64" t="s">
        <v>1213</v>
      </c>
    </row>
    <row r="402" spans="1:13" x14ac:dyDescent="0.25">
      <c r="A402" s="9" t="s">
        <v>126</v>
      </c>
      <c r="B402" s="9" t="s">
        <v>139</v>
      </c>
      <c r="C402" s="10" t="s">
        <v>784</v>
      </c>
      <c r="D402" s="9" t="s">
        <v>785</v>
      </c>
      <c r="E402" s="9">
        <v>34.5</v>
      </c>
      <c r="F402" s="21">
        <v>67</v>
      </c>
      <c r="G402" s="16" t="s">
        <v>789</v>
      </c>
      <c r="H402" s="16">
        <v>14</v>
      </c>
      <c r="I402" s="16" t="s">
        <v>790</v>
      </c>
      <c r="J402" s="16" t="s">
        <v>114</v>
      </c>
      <c r="K402" s="16" t="s">
        <v>89</v>
      </c>
      <c r="L402" s="16" t="s">
        <v>90</v>
      </c>
      <c r="M402" s="64" t="s">
        <v>1213</v>
      </c>
    </row>
    <row r="403" spans="1:13" x14ac:dyDescent="0.25">
      <c r="A403" s="9" t="s">
        <v>126</v>
      </c>
      <c r="B403" s="9" t="s">
        <v>139</v>
      </c>
      <c r="C403" s="10" t="s">
        <v>784</v>
      </c>
      <c r="D403" s="9" t="s">
        <v>785</v>
      </c>
      <c r="E403" s="9">
        <v>34.5</v>
      </c>
      <c r="F403" s="21">
        <v>67</v>
      </c>
      <c r="G403" s="16" t="s">
        <v>791</v>
      </c>
      <c r="H403" s="16">
        <v>14</v>
      </c>
      <c r="I403" s="16" t="s">
        <v>790</v>
      </c>
      <c r="J403" s="16" t="s">
        <v>114</v>
      </c>
      <c r="K403" s="16" t="s">
        <v>89</v>
      </c>
      <c r="L403" s="16" t="s">
        <v>90</v>
      </c>
      <c r="M403" s="64" t="s">
        <v>1213</v>
      </c>
    </row>
    <row r="404" spans="1:13" x14ac:dyDescent="0.25">
      <c r="A404" s="9" t="s">
        <v>126</v>
      </c>
      <c r="B404" s="9" t="s">
        <v>139</v>
      </c>
      <c r="C404" s="10" t="s">
        <v>792</v>
      </c>
      <c r="D404" s="9" t="s">
        <v>793</v>
      </c>
      <c r="E404" s="9">
        <v>34.5</v>
      </c>
      <c r="F404" s="21">
        <v>20</v>
      </c>
      <c r="G404" s="16" t="s">
        <v>782</v>
      </c>
      <c r="H404" s="16">
        <v>10</v>
      </c>
      <c r="I404" s="16" t="s">
        <v>596</v>
      </c>
      <c r="J404" s="16" t="s">
        <v>114</v>
      </c>
      <c r="K404" s="16" t="s">
        <v>89</v>
      </c>
      <c r="L404" s="16" t="s">
        <v>90</v>
      </c>
      <c r="M404" s="64" t="s">
        <v>1213</v>
      </c>
    </row>
    <row r="405" spans="1:13" x14ac:dyDescent="0.25">
      <c r="A405" s="9" t="s">
        <v>126</v>
      </c>
      <c r="B405" s="9" t="s">
        <v>139</v>
      </c>
      <c r="C405" s="10" t="s">
        <v>792</v>
      </c>
      <c r="D405" s="9" t="s">
        <v>793</v>
      </c>
      <c r="E405" s="9">
        <v>34.5</v>
      </c>
      <c r="F405" s="21">
        <v>20</v>
      </c>
      <c r="G405" s="16" t="s">
        <v>794</v>
      </c>
      <c r="H405" s="16">
        <v>10</v>
      </c>
      <c r="I405" s="16" t="s">
        <v>596</v>
      </c>
      <c r="J405" s="16" t="s">
        <v>114</v>
      </c>
      <c r="K405" s="16" t="s">
        <v>89</v>
      </c>
      <c r="L405" s="16" t="s">
        <v>90</v>
      </c>
      <c r="M405" s="64" t="s">
        <v>1213</v>
      </c>
    </row>
    <row r="406" spans="1:13" x14ac:dyDescent="0.25">
      <c r="A406" s="9" t="s">
        <v>126</v>
      </c>
      <c r="B406" s="9" t="s">
        <v>139</v>
      </c>
      <c r="C406" s="10" t="s">
        <v>795</v>
      </c>
      <c r="D406" s="9" t="s">
        <v>796</v>
      </c>
      <c r="E406" s="9">
        <v>34.5</v>
      </c>
      <c r="F406" s="21">
        <v>20</v>
      </c>
      <c r="G406" s="16" t="s">
        <v>782</v>
      </c>
      <c r="H406" s="16">
        <v>10</v>
      </c>
      <c r="I406" s="16" t="s">
        <v>596</v>
      </c>
      <c r="J406" s="16" t="s">
        <v>114</v>
      </c>
      <c r="K406" s="16" t="s">
        <v>89</v>
      </c>
      <c r="L406" s="16" t="s">
        <v>90</v>
      </c>
      <c r="M406" s="64" t="s">
        <v>1213</v>
      </c>
    </row>
    <row r="407" spans="1:13" x14ac:dyDescent="0.25">
      <c r="A407" s="9" t="s">
        <v>126</v>
      </c>
      <c r="B407" s="9" t="s">
        <v>139</v>
      </c>
      <c r="C407" s="10" t="s">
        <v>795</v>
      </c>
      <c r="D407" s="9" t="s">
        <v>796</v>
      </c>
      <c r="E407" s="9">
        <v>34.5</v>
      </c>
      <c r="F407" s="21">
        <v>20</v>
      </c>
      <c r="G407" s="16" t="s">
        <v>794</v>
      </c>
      <c r="H407" s="16">
        <v>10</v>
      </c>
      <c r="I407" s="16" t="s">
        <v>596</v>
      </c>
      <c r="J407" s="16" t="s">
        <v>88</v>
      </c>
      <c r="K407" s="16" t="s">
        <v>109</v>
      </c>
      <c r="L407" s="16" t="s">
        <v>90</v>
      </c>
      <c r="M407" s="64" t="s">
        <v>1213</v>
      </c>
    </row>
    <row r="408" spans="1:13" x14ac:dyDescent="0.25">
      <c r="A408" s="9" t="s">
        <v>126</v>
      </c>
      <c r="B408" s="9" t="s">
        <v>139</v>
      </c>
      <c r="C408" s="10" t="s">
        <v>797</v>
      </c>
      <c r="D408" s="9" t="s">
        <v>798</v>
      </c>
      <c r="E408" s="9">
        <v>34.5</v>
      </c>
      <c r="F408" s="21">
        <v>90</v>
      </c>
      <c r="G408" s="16" t="s">
        <v>782</v>
      </c>
      <c r="H408" s="16">
        <v>18</v>
      </c>
      <c r="I408" s="16" t="s">
        <v>799</v>
      </c>
      <c r="J408" s="16" t="s">
        <v>114</v>
      </c>
      <c r="K408" s="16" t="s">
        <v>89</v>
      </c>
      <c r="L408" s="16" t="s">
        <v>90</v>
      </c>
      <c r="M408" s="64" t="s">
        <v>1213</v>
      </c>
    </row>
    <row r="409" spans="1:13" x14ac:dyDescent="0.25">
      <c r="A409" s="9" t="s">
        <v>126</v>
      </c>
      <c r="B409" s="9" t="s">
        <v>139</v>
      </c>
      <c r="C409" s="10" t="s">
        <v>797</v>
      </c>
      <c r="D409" s="9" t="s">
        <v>798</v>
      </c>
      <c r="E409" s="9">
        <v>34.5</v>
      </c>
      <c r="F409" s="21">
        <v>90</v>
      </c>
      <c r="G409" s="16" t="s">
        <v>794</v>
      </c>
      <c r="H409" s="16">
        <v>16</v>
      </c>
      <c r="I409" s="16" t="s">
        <v>594</v>
      </c>
      <c r="J409" s="16" t="s">
        <v>88</v>
      </c>
      <c r="K409" s="16" t="s">
        <v>109</v>
      </c>
      <c r="L409" s="16" t="s">
        <v>90</v>
      </c>
      <c r="M409" s="64" t="s">
        <v>1213</v>
      </c>
    </row>
    <row r="410" spans="1:13" x14ac:dyDescent="0.25">
      <c r="A410" s="9" t="s">
        <v>126</v>
      </c>
      <c r="B410" s="9" t="s">
        <v>139</v>
      </c>
      <c r="C410" s="10" t="s">
        <v>797</v>
      </c>
      <c r="D410" s="9" t="s">
        <v>798</v>
      </c>
      <c r="E410" s="9">
        <v>34.5</v>
      </c>
      <c r="F410" s="21">
        <v>90</v>
      </c>
      <c r="G410" s="16" t="s">
        <v>786</v>
      </c>
      <c r="H410" s="16">
        <v>28</v>
      </c>
      <c r="I410" s="16" t="s">
        <v>800</v>
      </c>
      <c r="J410" s="16" t="s">
        <v>114</v>
      </c>
      <c r="K410" s="16" t="s">
        <v>89</v>
      </c>
      <c r="L410" s="16" t="s">
        <v>90</v>
      </c>
      <c r="M410" s="64" t="s">
        <v>1213</v>
      </c>
    </row>
    <row r="411" spans="1:13" x14ac:dyDescent="0.25">
      <c r="A411" s="9" t="s">
        <v>126</v>
      </c>
      <c r="B411" s="9" t="s">
        <v>139</v>
      </c>
      <c r="C411" s="10" t="s">
        <v>797</v>
      </c>
      <c r="D411" s="9" t="s">
        <v>798</v>
      </c>
      <c r="E411" s="9">
        <v>34.5</v>
      </c>
      <c r="F411" s="21">
        <v>90</v>
      </c>
      <c r="G411" s="16" t="s">
        <v>788</v>
      </c>
      <c r="H411" s="16">
        <v>28</v>
      </c>
      <c r="I411" s="16" t="s">
        <v>800</v>
      </c>
      <c r="J411" s="16" t="s">
        <v>114</v>
      </c>
      <c r="K411" s="16" t="s">
        <v>89</v>
      </c>
      <c r="L411" s="16" t="s">
        <v>90</v>
      </c>
      <c r="M411" s="64" t="s">
        <v>1213</v>
      </c>
    </row>
    <row r="412" spans="1:13" x14ac:dyDescent="0.25">
      <c r="A412" s="9" t="s">
        <v>126</v>
      </c>
      <c r="B412" s="9" t="s">
        <v>139</v>
      </c>
      <c r="C412" s="10" t="s">
        <v>801</v>
      </c>
      <c r="D412" s="9" t="s">
        <v>802</v>
      </c>
      <c r="E412" s="9">
        <v>34.5</v>
      </c>
      <c r="F412" s="21">
        <v>56</v>
      </c>
      <c r="G412" s="16" t="s">
        <v>782</v>
      </c>
      <c r="H412" s="16">
        <v>28</v>
      </c>
      <c r="I412" s="16" t="s">
        <v>800</v>
      </c>
      <c r="J412" s="16" t="s">
        <v>114</v>
      </c>
      <c r="K412" s="16" t="s">
        <v>89</v>
      </c>
      <c r="L412" s="16" t="s">
        <v>90</v>
      </c>
      <c r="M412" s="64" t="s">
        <v>1213</v>
      </c>
    </row>
    <row r="413" spans="1:13" x14ac:dyDescent="0.25">
      <c r="A413" s="9" t="s">
        <v>126</v>
      </c>
      <c r="B413" s="9" t="s">
        <v>139</v>
      </c>
      <c r="C413" s="10" t="s">
        <v>801</v>
      </c>
      <c r="D413" s="9" t="s">
        <v>802</v>
      </c>
      <c r="E413" s="9">
        <v>34.5</v>
      </c>
      <c r="F413" s="21">
        <v>56</v>
      </c>
      <c r="G413" s="16" t="s">
        <v>794</v>
      </c>
      <c r="H413" s="16">
        <v>28</v>
      </c>
      <c r="I413" s="16" t="s">
        <v>800</v>
      </c>
      <c r="J413" s="16" t="s">
        <v>114</v>
      </c>
      <c r="K413" s="16" t="s">
        <v>89</v>
      </c>
      <c r="L413" s="16" t="s">
        <v>90</v>
      </c>
      <c r="M413" s="64" t="s">
        <v>1213</v>
      </c>
    </row>
    <row r="414" spans="1:13" x14ac:dyDescent="0.25">
      <c r="A414" s="9" t="s">
        <v>126</v>
      </c>
      <c r="B414" s="9" t="s">
        <v>139</v>
      </c>
      <c r="C414" s="10" t="s">
        <v>803</v>
      </c>
      <c r="D414" s="9" t="s">
        <v>804</v>
      </c>
      <c r="E414" s="9">
        <v>34.5</v>
      </c>
      <c r="F414" s="21">
        <v>10</v>
      </c>
      <c r="G414" s="16" t="s">
        <v>782</v>
      </c>
      <c r="H414" s="16">
        <v>10</v>
      </c>
      <c r="I414" s="16" t="s">
        <v>596</v>
      </c>
      <c r="J414" s="16" t="s">
        <v>114</v>
      </c>
      <c r="K414" s="16" t="s">
        <v>89</v>
      </c>
      <c r="L414" s="16" t="s">
        <v>90</v>
      </c>
      <c r="M414" s="64" t="s">
        <v>1213</v>
      </c>
    </row>
    <row r="415" spans="1:13" x14ac:dyDescent="0.25">
      <c r="A415" s="9" t="s">
        <v>126</v>
      </c>
      <c r="B415" s="9" t="s">
        <v>139</v>
      </c>
      <c r="C415" s="10" t="s">
        <v>805</v>
      </c>
      <c r="D415" s="9" t="s">
        <v>806</v>
      </c>
      <c r="E415" s="9">
        <v>34.5</v>
      </c>
      <c r="F415" s="21">
        <v>20</v>
      </c>
      <c r="G415" s="16" t="s">
        <v>782</v>
      </c>
      <c r="H415" s="16">
        <v>10</v>
      </c>
      <c r="I415" s="16" t="s">
        <v>596</v>
      </c>
      <c r="J415" s="16" t="s">
        <v>88</v>
      </c>
      <c r="K415" s="16" t="s">
        <v>109</v>
      </c>
      <c r="L415" s="16" t="s">
        <v>90</v>
      </c>
      <c r="M415" s="64" t="s">
        <v>1213</v>
      </c>
    </row>
    <row r="416" spans="1:13" x14ac:dyDescent="0.25">
      <c r="A416" s="9" t="s">
        <v>126</v>
      </c>
      <c r="B416" s="9" t="s">
        <v>139</v>
      </c>
      <c r="C416" s="10" t="s">
        <v>805</v>
      </c>
      <c r="D416" s="9" t="s">
        <v>806</v>
      </c>
      <c r="E416" s="9">
        <v>34.5</v>
      </c>
      <c r="F416" s="21">
        <v>20</v>
      </c>
      <c r="G416" s="16" t="s">
        <v>794</v>
      </c>
      <c r="H416" s="16">
        <v>10</v>
      </c>
      <c r="I416" s="16" t="s">
        <v>596</v>
      </c>
      <c r="J416" s="16" t="s">
        <v>88</v>
      </c>
      <c r="K416" s="16" t="s">
        <v>109</v>
      </c>
      <c r="L416" s="16" t="s">
        <v>90</v>
      </c>
      <c r="M416" s="64" t="s">
        <v>1213</v>
      </c>
    </row>
    <row r="417" spans="1:13" x14ac:dyDescent="0.25">
      <c r="A417" s="9" t="s">
        <v>126</v>
      </c>
      <c r="B417" s="9" t="s">
        <v>139</v>
      </c>
      <c r="C417" s="10" t="s">
        <v>807</v>
      </c>
      <c r="D417" s="9" t="s">
        <v>808</v>
      </c>
      <c r="E417" s="9">
        <v>13.8</v>
      </c>
      <c r="F417" s="21">
        <v>10.55</v>
      </c>
      <c r="G417" s="16" t="s">
        <v>782</v>
      </c>
      <c r="H417" s="16">
        <v>1.25</v>
      </c>
      <c r="I417" s="16" t="s">
        <v>809</v>
      </c>
      <c r="J417" s="16" t="s">
        <v>114</v>
      </c>
      <c r="K417" s="16" t="s">
        <v>89</v>
      </c>
      <c r="L417" s="16" t="s">
        <v>90</v>
      </c>
      <c r="M417" s="64" t="s">
        <v>1213</v>
      </c>
    </row>
    <row r="418" spans="1:13" x14ac:dyDescent="0.25">
      <c r="A418" s="9" t="s">
        <v>126</v>
      </c>
      <c r="B418" s="9" t="s">
        <v>139</v>
      </c>
      <c r="C418" s="10" t="s">
        <v>807</v>
      </c>
      <c r="D418" s="9" t="s">
        <v>808</v>
      </c>
      <c r="E418" s="9">
        <v>13.8</v>
      </c>
      <c r="F418" s="21">
        <v>10.55</v>
      </c>
      <c r="G418" s="16" t="s">
        <v>794</v>
      </c>
      <c r="H418" s="16">
        <v>1.1499999999999999</v>
      </c>
      <c r="I418" s="16" t="s">
        <v>810</v>
      </c>
      <c r="J418" s="16" t="s">
        <v>114</v>
      </c>
      <c r="K418" s="16" t="s">
        <v>89</v>
      </c>
      <c r="L418" s="16" t="s">
        <v>90</v>
      </c>
      <c r="M418" s="64" t="s">
        <v>1213</v>
      </c>
    </row>
    <row r="419" spans="1:13" x14ac:dyDescent="0.25">
      <c r="A419" s="9" t="s">
        <v>126</v>
      </c>
      <c r="B419" s="9" t="s">
        <v>139</v>
      </c>
      <c r="C419" s="10" t="s">
        <v>807</v>
      </c>
      <c r="D419" s="9" t="s">
        <v>808</v>
      </c>
      <c r="E419" s="9">
        <v>13.8</v>
      </c>
      <c r="F419" s="21">
        <v>10.55</v>
      </c>
      <c r="G419" s="16" t="s">
        <v>786</v>
      </c>
      <c r="H419" s="16">
        <v>1.1499999999999999</v>
      </c>
      <c r="I419" s="16" t="s">
        <v>810</v>
      </c>
      <c r="J419" s="16" t="s">
        <v>88</v>
      </c>
      <c r="K419" s="16" t="s">
        <v>109</v>
      </c>
      <c r="L419" s="16" t="s">
        <v>90</v>
      </c>
      <c r="M419" s="64" t="s">
        <v>1213</v>
      </c>
    </row>
    <row r="420" spans="1:13" x14ac:dyDescent="0.25">
      <c r="A420" s="9" t="s">
        <v>126</v>
      </c>
      <c r="B420" s="9" t="s">
        <v>139</v>
      </c>
      <c r="C420" s="10" t="s">
        <v>807</v>
      </c>
      <c r="D420" s="9" t="s">
        <v>808</v>
      </c>
      <c r="E420" s="9">
        <v>13.8</v>
      </c>
      <c r="F420" s="21">
        <v>10.55</v>
      </c>
      <c r="G420" s="16" t="s">
        <v>788</v>
      </c>
      <c r="H420" s="16">
        <v>1.1499999999999999</v>
      </c>
      <c r="I420" s="16" t="s">
        <v>810</v>
      </c>
      <c r="J420" s="16" t="s">
        <v>114</v>
      </c>
      <c r="K420" s="16" t="s">
        <v>89</v>
      </c>
      <c r="L420" s="16" t="s">
        <v>90</v>
      </c>
      <c r="M420" s="64" t="s">
        <v>1213</v>
      </c>
    </row>
    <row r="421" spans="1:13" x14ac:dyDescent="0.25">
      <c r="A421" s="9" t="s">
        <v>126</v>
      </c>
      <c r="B421" s="9" t="s">
        <v>139</v>
      </c>
      <c r="C421" s="10" t="s">
        <v>807</v>
      </c>
      <c r="D421" s="9" t="s">
        <v>808</v>
      </c>
      <c r="E421" s="9">
        <v>13.8</v>
      </c>
      <c r="F421" s="21">
        <v>10.55</v>
      </c>
      <c r="G421" s="16" t="s">
        <v>789</v>
      </c>
      <c r="H421" s="16">
        <v>1.2</v>
      </c>
      <c r="I421" s="16" t="s">
        <v>811</v>
      </c>
      <c r="J421" s="16" t="s">
        <v>114</v>
      </c>
      <c r="K421" s="16" t="s">
        <v>89</v>
      </c>
      <c r="L421" s="16" t="s">
        <v>90</v>
      </c>
      <c r="M421" s="64" t="s">
        <v>1213</v>
      </c>
    </row>
    <row r="422" spans="1:13" x14ac:dyDescent="0.25">
      <c r="A422" s="9" t="s">
        <v>126</v>
      </c>
      <c r="B422" s="9" t="s">
        <v>139</v>
      </c>
      <c r="C422" s="10" t="s">
        <v>807</v>
      </c>
      <c r="D422" s="9" t="s">
        <v>808</v>
      </c>
      <c r="E422" s="9">
        <v>13.8</v>
      </c>
      <c r="F422" s="21">
        <v>10.55</v>
      </c>
      <c r="G422" s="16" t="s">
        <v>791</v>
      </c>
      <c r="H422" s="16">
        <v>1.2</v>
      </c>
      <c r="I422" s="16" t="s">
        <v>811</v>
      </c>
      <c r="J422" s="16" t="s">
        <v>114</v>
      </c>
      <c r="K422" s="16" t="s">
        <v>89</v>
      </c>
      <c r="L422" s="16" t="s">
        <v>90</v>
      </c>
      <c r="M422" s="64" t="s">
        <v>1213</v>
      </c>
    </row>
    <row r="423" spans="1:13" x14ac:dyDescent="0.25">
      <c r="A423" s="9" t="s">
        <v>126</v>
      </c>
      <c r="B423" s="9" t="s">
        <v>139</v>
      </c>
      <c r="C423" s="10" t="s">
        <v>807</v>
      </c>
      <c r="D423" s="9" t="s">
        <v>808</v>
      </c>
      <c r="E423" s="9">
        <v>13.8</v>
      </c>
      <c r="F423" s="21">
        <v>10.55</v>
      </c>
      <c r="G423" s="16" t="s">
        <v>812</v>
      </c>
      <c r="H423" s="16">
        <v>1.1499999999999999</v>
      </c>
      <c r="I423" s="16" t="s">
        <v>810</v>
      </c>
      <c r="J423" s="16" t="s">
        <v>88</v>
      </c>
      <c r="K423" s="16" t="s">
        <v>109</v>
      </c>
      <c r="L423" s="16" t="s">
        <v>90</v>
      </c>
      <c r="M423" s="64" t="s">
        <v>1213</v>
      </c>
    </row>
    <row r="424" spans="1:13" x14ac:dyDescent="0.25">
      <c r="A424" s="9" t="s">
        <v>126</v>
      </c>
      <c r="B424" s="9" t="s">
        <v>139</v>
      </c>
      <c r="C424" s="10" t="s">
        <v>807</v>
      </c>
      <c r="D424" s="9" t="s">
        <v>808</v>
      </c>
      <c r="E424" s="9">
        <v>13.8</v>
      </c>
      <c r="F424" s="21">
        <v>10.55</v>
      </c>
      <c r="G424" s="16" t="s">
        <v>813</v>
      </c>
      <c r="H424" s="16">
        <v>1.1499999999999999</v>
      </c>
      <c r="I424" s="16" t="s">
        <v>810</v>
      </c>
      <c r="J424" s="16" t="s">
        <v>88</v>
      </c>
      <c r="K424" s="16" t="s">
        <v>109</v>
      </c>
      <c r="L424" s="16" t="s">
        <v>90</v>
      </c>
      <c r="M424" s="64" t="s">
        <v>1213</v>
      </c>
    </row>
    <row r="425" spans="1:13" x14ac:dyDescent="0.25">
      <c r="A425" s="9" t="s">
        <v>126</v>
      </c>
      <c r="B425" s="9" t="s">
        <v>139</v>
      </c>
      <c r="C425" s="10" t="s">
        <v>807</v>
      </c>
      <c r="D425" s="9" t="s">
        <v>808</v>
      </c>
      <c r="E425" s="9">
        <v>13.8</v>
      </c>
      <c r="F425" s="21">
        <v>10.55</v>
      </c>
      <c r="G425" s="16" t="s">
        <v>814</v>
      </c>
      <c r="H425" s="16">
        <v>1.1499999999999999</v>
      </c>
      <c r="I425" s="16" t="s">
        <v>810</v>
      </c>
      <c r="J425" s="16" t="s">
        <v>114</v>
      </c>
      <c r="K425" s="16" t="s">
        <v>89</v>
      </c>
      <c r="L425" s="16" t="s">
        <v>90</v>
      </c>
      <c r="M425" s="64" t="s">
        <v>1213</v>
      </c>
    </row>
    <row r="426" spans="1:13" x14ac:dyDescent="0.25">
      <c r="A426" s="9" t="s">
        <v>126</v>
      </c>
      <c r="B426" s="9" t="s">
        <v>139</v>
      </c>
      <c r="C426" s="10" t="s">
        <v>815</v>
      </c>
      <c r="D426" s="9" t="s">
        <v>816</v>
      </c>
      <c r="E426" s="9">
        <v>34.5</v>
      </c>
      <c r="F426" s="21">
        <v>10</v>
      </c>
      <c r="G426" s="16" t="s">
        <v>782</v>
      </c>
      <c r="H426" s="16">
        <v>10</v>
      </c>
      <c r="I426" s="16" t="s">
        <v>596</v>
      </c>
      <c r="J426" s="16" t="s">
        <v>114</v>
      </c>
      <c r="K426" s="16" t="s">
        <v>89</v>
      </c>
      <c r="L426" s="16" t="s">
        <v>90</v>
      </c>
      <c r="M426" s="64" t="s">
        <v>1213</v>
      </c>
    </row>
    <row r="427" spans="1:13" x14ac:dyDescent="0.25">
      <c r="A427" s="9" t="s">
        <v>126</v>
      </c>
      <c r="B427" s="9" t="s">
        <v>139</v>
      </c>
      <c r="C427" s="10" t="s">
        <v>817</v>
      </c>
      <c r="D427" s="9" t="s">
        <v>818</v>
      </c>
      <c r="E427" s="9">
        <v>34.5</v>
      </c>
      <c r="F427" s="21">
        <v>15</v>
      </c>
      <c r="G427" s="16" t="s">
        <v>782</v>
      </c>
      <c r="H427" s="16">
        <v>15</v>
      </c>
      <c r="I427" s="16" t="s">
        <v>617</v>
      </c>
      <c r="J427" s="16" t="s">
        <v>114</v>
      </c>
      <c r="K427" s="16" t="s">
        <v>89</v>
      </c>
      <c r="L427" s="16" t="s">
        <v>93</v>
      </c>
      <c r="M427" s="64" t="s">
        <v>1213</v>
      </c>
    </row>
    <row r="428" spans="1:13" x14ac:dyDescent="0.25">
      <c r="A428" s="9" t="s">
        <v>126</v>
      </c>
      <c r="B428" s="9" t="s">
        <v>139</v>
      </c>
      <c r="C428" s="10" t="s">
        <v>819</v>
      </c>
      <c r="D428" s="9" t="s">
        <v>820</v>
      </c>
      <c r="E428" s="9">
        <v>34.5</v>
      </c>
      <c r="F428" s="21">
        <v>25</v>
      </c>
      <c r="G428" s="16" t="s">
        <v>782</v>
      </c>
      <c r="H428" s="16">
        <v>15</v>
      </c>
      <c r="I428" s="16" t="s">
        <v>617</v>
      </c>
      <c r="J428" s="16" t="s">
        <v>88</v>
      </c>
      <c r="K428" s="16" t="s">
        <v>109</v>
      </c>
      <c r="L428" s="16" t="s">
        <v>90</v>
      </c>
      <c r="M428" s="64" t="s">
        <v>1213</v>
      </c>
    </row>
    <row r="429" spans="1:13" x14ac:dyDescent="0.25">
      <c r="A429" s="9" t="s">
        <v>126</v>
      </c>
      <c r="B429" s="9" t="s">
        <v>139</v>
      </c>
      <c r="C429" s="10" t="s">
        <v>819</v>
      </c>
      <c r="D429" s="9" t="s">
        <v>820</v>
      </c>
      <c r="E429" s="9">
        <v>34.5</v>
      </c>
      <c r="F429" s="21">
        <v>25</v>
      </c>
      <c r="G429" s="16" t="s">
        <v>794</v>
      </c>
      <c r="H429" s="16">
        <v>10</v>
      </c>
      <c r="I429" s="16" t="s">
        <v>596</v>
      </c>
      <c r="J429" s="16" t="s">
        <v>114</v>
      </c>
      <c r="K429" s="16" t="s">
        <v>89</v>
      </c>
      <c r="L429" s="16" t="s">
        <v>90</v>
      </c>
      <c r="M429" s="64" t="s">
        <v>1213</v>
      </c>
    </row>
    <row r="430" spans="1:13" x14ac:dyDescent="0.25">
      <c r="A430" s="9" t="s">
        <v>126</v>
      </c>
      <c r="B430" s="9" t="s">
        <v>139</v>
      </c>
      <c r="C430" s="10" t="s">
        <v>821</v>
      </c>
      <c r="D430" s="9" t="s">
        <v>822</v>
      </c>
      <c r="E430" s="9">
        <v>34.5</v>
      </c>
      <c r="F430" s="21">
        <v>10</v>
      </c>
      <c r="G430" s="16" t="s">
        <v>782</v>
      </c>
      <c r="H430" s="16">
        <v>10</v>
      </c>
      <c r="I430" s="16" t="s">
        <v>596</v>
      </c>
      <c r="J430" s="16" t="s">
        <v>88</v>
      </c>
      <c r="K430" s="16" t="s">
        <v>109</v>
      </c>
      <c r="L430" s="16" t="s">
        <v>90</v>
      </c>
      <c r="M430" s="64" t="s">
        <v>1213</v>
      </c>
    </row>
    <row r="431" spans="1:13" x14ac:dyDescent="0.25">
      <c r="A431" s="9" t="s">
        <v>126</v>
      </c>
      <c r="B431" s="9" t="s">
        <v>139</v>
      </c>
      <c r="C431" s="10" t="s">
        <v>148</v>
      </c>
      <c r="D431" s="9" t="s">
        <v>823</v>
      </c>
      <c r="E431" s="9">
        <v>34.5</v>
      </c>
      <c r="F431" s="21">
        <v>10</v>
      </c>
      <c r="G431" s="16" t="s">
        <v>782</v>
      </c>
      <c r="H431" s="16">
        <v>10</v>
      </c>
      <c r="I431" s="16" t="s">
        <v>596</v>
      </c>
      <c r="J431" s="16" t="s">
        <v>114</v>
      </c>
      <c r="K431" s="16" t="s">
        <v>89</v>
      </c>
      <c r="L431" s="16" t="s">
        <v>90</v>
      </c>
      <c r="M431" s="64" t="s">
        <v>1213</v>
      </c>
    </row>
    <row r="432" spans="1:13" x14ac:dyDescent="0.25">
      <c r="A432" s="9" t="s">
        <v>126</v>
      </c>
      <c r="B432" s="9" t="s">
        <v>139</v>
      </c>
      <c r="C432" s="10" t="s">
        <v>148</v>
      </c>
      <c r="D432" s="9" t="s">
        <v>823</v>
      </c>
      <c r="E432" s="9">
        <v>34.5</v>
      </c>
      <c r="F432" s="21">
        <v>10</v>
      </c>
      <c r="G432" s="16" t="s">
        <v>794</v>
      </c>
      <c r="H432" s="16">
        <v>10</v>
      </c>
      <c r="I432" s="16" t="s">
        <v>596</v>
      </c>
      <c r="J432" s="16" t="s">
        <v>114</v>
      </c>
      <c r="K432" s="16" t="s">
        <v>89</v>
      </c>
      <c r="L432" s="16" t="s">
        <v>90</v>
      </c>
      <c r="M432" s="64" t="s">
        <v>1213</v>
      </c>
    </row>
    <row r="433" spans="1:13" x14ac:dyDescent="0.25">
      <c r="A433" s="9" t="s">
        <v>126</v>
      </c>
      <c r="B433" s="9" t="s">
        <v>139</v>
      </c>
      <c r="C433" s="10" t="s">
        <v>824</v>
      </c>
      <c r="D433" s="9" t="s">
        <v>825</v>
      </c>
      <c r="E433" s="9">
        <v>34.5</v>
      </c>
      <c r="F433" s="21">
        <v>10</v>
      </c>
      <c r="G433" s="16" t="s">
        <v>782</v>
      </c>
      <c r="H433" s="16">
        <v>10</v>
      </c>
      <c r="I433" s="16" t="s">
        <v>596</v>
      </c>
      <c r="J433" s="16" t="s">
        <v>114</v>
      </c>
      <c r="K433" s="16" t="s">
        <v>89</v>
      </c>
      <c r="L433" s="16" t="s">
        <v>90</v>
      </c>
      <c r="M433" s="64" t="s">
        <v>1213</v>
      </c>
    </row>
    <row r="434" spans="1:13" x14ac:dyDescent="0.25">
      <c r="A434" s="9" t="s">
        <v>126</v>
      </c>
      <c r="B434" s="9" t="s">
        <v>139</v>
      </c>
      <c r="C434" s="10" t="s">
        <v>826</v>
      </c>
      <c r="D434" s="9" t="s">
        <v>827</v>
      </c>
      <c r="E434" s="9">
        <v>13.8</v>
      </c>
      <c r="F434" s="21">
        <v>2.149</v>
      </c>
      <c r="G434" s="16" t="s">
        <v>782</v>
      </c>
      <c r="H434" s="16">
        <v>1.1499999999999999</v>
      </c>
      <c r="I434" s="16" t="s">
        <v>810</v>
      </c>
      <c r="J434" s="16" t="s">
        <v>114</v>
      </c>
      <c r="K434" s="16" t="s">
        <v>89</v>
      </c>
      <c r="L434" s="16" t="s">
        <v>90</v>
      </c>
      <c r="M434" s="64" t="s">
        <v>1213</v>
      </c>
    </row>
    <row r="435" spans="1:13" x14ac:dyDescent="0.25">
      <c r="A435" s="9" t="s">
        <v>126</v>
      </c>
      <c r="B435" s="9" t="s">
        <v>139</v>
      </c>
      <c r="C435" s="10" t="s">
        <v>826</v>
      </c>
      <c r="D435" s="9" t="s">
        <v>827</v>
      </c>
      <c r="E435" s="9">
        <v>13.8</v>
      </c>
      <c r="F435" s="21">
        <v>2.149</v>
      </c>
      <c r="G435" s="16" t="s">
        <v>794</v>
      </c>
      <c r="H435" s="16">
        <v>0.999</v>
      </c>
      <c r="I435" s="16" t="s">
        <v>828</v>
      </c>
      <c r="J435" s="16" t="s">
        <v>114</v>
      </c>
      <c r="K435" s="16" t="s">
        <v>89</v>
      </c>
      <c r="L435" s="16" t="s">
        <v>90</v>
      </c>
      <c r="M435" s="64" t="s">
        <v>1213</v>
      </c>
    </row>
    <row r="436" spans="1:13" x14ac:dyDescent="0.25">
      <c r="A436" s="9" t="s">
        <v>126</v>
      </c>
      <c r="B436" s="9" t="s">
        <v>139</v>
      </c>
      <c r="C436" s="10" t="s">
        <v>829</v>
      </c>
      <c r="D436" s="9" t="s">
        <v>830</v>
      </c>
      <c r="E436" s="9">
        <v>34.5</v>
      </c>
      <c r="F436" s="21">
        <v>10</v>
      </c>
      <c r="G436" s="16" t="s">
        <v>782</v>
      </c>
      <c r="H436" s="16">
        <v>10</v>
      </c>
      <c r="I436" s="16" t="s">
        <v>596</v>
      </c>
      <c r="J436" s="16" t="s">
        <v>88</v>
      </c>
      <c r="K436" s="16" t="s">
        <v>109</v>
      </c>
      <c r="L436" s="16" t="s">
        <v>90</v>
      </c>
      <c r="M436" s="64" t="s">
        <v>1213</v>
      </c>
    </row>
    <row r="437" spans="1:13" x14ac:dyDescent="0.25">
      <c r="A437" s="9" t="s">
        <v>126</v>
      </c>
      <c r="B437" s="9" t="s">
        <v>139</v>
      </c>
      <c r="C437" s="10" t="s">
        <v>831</v>
      </c>
      <c r="D437" s="9" t="s">
        <v>832</v>
      </c>
      <c r="E437" s="9">
        <v>13.8</v>
      </c>
      <c r="F437" s="21">
        <v>2.2999999999999998</v>
      </c>
      <c r="G437" s="16" t="s">
        <v>782</v>
      </c>
      <c r="H437" s="16">
        <v>1.1499999999999999</v>
      </c>
      <c r="I437" s="16" t="s">
        <v>810</v>
      </c>
      <c r="J437" s="16" t="s">
        <v>88</v>
      </c>
      <c r="K437" s="16" t="s">
        <v>109</v>
      </c>
      <c r="L437" s="16" t="s">
        <v>90</v>
      </c>
      <c r="M437" s="64" t="s">
        <v>1213</v>
      </c>
    </row>
    <row r="438" spans="1:13" x14ac:dyDescent="0.25">
      <c r="A438" s="9" t="s">
        <v>126</v>
      </c>
      <c r="B438" s="9" t="s">
        <v>139</v>
      </c>
      <c r="C438" s="10" t="s">
        <v>831</v>
      </c>
      <c r="D438" s="9" t="s">
        <v>832</v>
      </c>
      <c r="E438" s="9">
        <v>13.8</v>
      </c>
      <c r="F438" s="21">
        <v>2.2999999999999998</v>
      </c>
      <c r="G438" s="16" t="s">
        <v>794</v>
      </c>
      <c r="H438" s="16">
        <v>1.1499999999999999</v>
      </c>
      <c r="I438" s="16" t="s">
        <v>810</v>
      </c>
      <c r="J438" s="16" t="s">
        <v>114</v>
      </c>
      <c r="K438" s="16" t="s">
        <v>89</v>
      </c>
      <c r="L438" s="16" t="s">
        <v>90</v>
      </c>
      <c r="M438" s="64" t="s">
        <v>1213</v>
      </c>
    </row>
    <row r="439" spans="1:13" x14ac:dyDescent="0.25">
      <c r="A439" s="9" t="s">
        <v>126</v>
      </c>
      <c r="B439" s="9" t="s">
        <v>139</v>
      </c>
      <c r="C439" s="10" t="s">
        <v>833</v>
      </c>
      <c r="D439" s="9" t="s">
        <v>834</v>
      </c>
      <c r="E439" s="9">
        <v>13.8</v>
      </c>
      <c r="F439" s="21">
        <v>3.8</v>
      </c>
      <c r="G439" s="16" t="s">
        <v>782</v>
      </c>
      <c r="H439" s="16">
        <v>1.5</v>
      </c>
      <c r="I439" s="16" t="s">
        <v>835</v>
      </c>
      <c r="J439" s="16" t="s">
        <v>114</v>
      </c>
      <c r="K439" s="16" t="s">
        <v>89</v>
      </c>
      <c r="L439" s="16" t="s">
        <v>90</v>
      </c>
      <c r="M439" s="64" t="s">
        <v>1213</v>
      </c>
    </row>
    <row r="440" spans="1:13" x14ac:dyDescent="0.25">
      <c r="A440" s="9" t="s">
        <v>126</v>
      </c>
      <c r="B440" s="9" t="s">
        <v>139</v>
      </c>
      <c r="C440" s="10" t="s">
        <v>833</v>
      </c>
      <c r="D440" s="9" t="s">
        <v>834</v>
      </c>
      <c r="E440" s="9">
        <v>13.8</v>
      </c>
      <c r="F440" s="21">
        <v>3.8</v>
      </c>
      <c r="G440" s="16" t="s">
        <v>794</v>
      </c>
      <c r="H440" s="16">
        <v>1.1499999999999999</v>
      </c>
      <c r="I440" s="16" t="s">
        <v>810</v>
      </c>
      <c r="J440" s="16" t="s">
        <v>114</v>
      </c>
      <c r="K440" s="16" t="s">
        <v>89</v>
      </c>
      <c r="L440" s="16" t="s">
        <v>90</v>
      </c>
      <c r="M440" s="64" t="s">
        <v>1213</v>
      </c>
    </row>
    <row r="441" spans="1:13" x14ac:dyDescent="0.25">
      <c r="A441" s="9" t="s">
        <v>126</v>
      </c>
      <c r="B441" s="9" t="s">
        <v>139</v>
      </c>
      <c r="C441" s="10" t="s">
        <v>833</v>
      </c>
      <c r="D441" s="9" t="s">
        <v>834</v>
      </c>
      <c r="E441" s="9">
        <v>13.8</v>
      </c>
      <c r="F441" s="21">
        <v>3.8</v>
      </c>
      <c r="G441" s="16" t="s">
        <v>786</v>
      </c>
      <c r="H441" s="16">
        <v>1.1499999999999999</v>
      </c>
      <c r="I441" s="16" t="s">
        <v>810</v>
      </c>
      <c r="J441" s="16" t="s">
        <v>114</v>
      </c>
      <c r="K441" s="16" t="s">
        <v>89</v>
      </c>
      <c r="L441" s="16" t="s">
        <v>90</v>
      </c>
      <c r="M441" s="64" t="s">
        <v>1213</v>
      </c>
    </row>
    <row r="442" spans="1:13" x14ac:dyDescent="0.25">
      <c r="A442" s="9" t="s">
        <v>126</v>
      </c>
      <c r="B442" s="9" t="s">
        <v>139</v>
      </c>
      <c r="C442" s="10" t="s">
        <v>836</v>
      </c>
      <c r="D442" s="9" t="s">
        <v>837</v>
      </c>
      <c r="E442" s="9">
        <v>34.5</v>
      </c>
      <c r="F442" s="21">
        <v>45</v>
      </c>
      <c r="G442" s="16" t="s">
        <v>782</v>
      </c>
      <c r="H442" s="16">
        <v>15</v>
      </c>
      <c r="I442" s="16" t="s">
        <v>617</v>
      </c>
      <c r="J442" s="16" t="s">
        <v>88</v>
      </c>
      <c r="K442" s="16" t="s">
        <v>109</v>
      </c>
      <c r="L442" s="16" t="s">
        <v>90</v>
      </c>
      <c r="M442" s="64" t="s">
        <v>1213</v>
      </c>
    </row>
    <row r="443" spans="1:13" x14ac:dyDescent="0.25">
      <c r="A443" s="9" t="s">
        <v>126</v>
      </c>
      <c r="B443" s="9" t="s">
        <v>139</v>
      </c>
      <c r="C443" s="10" t="s">
        <v>836</v>
      </c>
      <c r="D443" s="9" t="s">
        <v>837</v>
      </c>
      <c r="E443" s="9">
        <v>34.5</v>
      </c>
      <c r="F443" s="21">
        <v>45</v>
      </c>
      <c r="G443" s="16" t="s">
        <v>794</v>
      </c>
      <c r="H443" s="16">
        <v>10</v>
      </c>
      <c r="I443" s="16" t="s">
        <v>596</v>
      </c>
      <c r="J443" s="16" t="s">
        <v>114</v>
      </c>
      <c r="K443" s="16" t="s">
        <v>89</v>
      </c>
      <c r="L443" s="16" t="s">
        <v>90</v>
      </c>
      <c r="M443" s="64" t="s">
        <v>1213</v>
      </c>
    </row>
    <row r="444" spans="1:13" x14ac:dyDescent="0.25">
      <c r="A444" s="9" t="s">
        <v>126</v>
      </c>
      <c r="B444" s="9" t="s">
        <v>139</v>
      </c>
      <c r="C444" s="10" t="s">
        <v>836</v>
      </c>
      <c r="D444" s="9" t="s">
        <v>837</v>
      </c>
      <c r="E444" s="9">
        <v>34.5</v>
      </c>
      <c r="F444" s="21">
        <v>45</v>
      </c>
      <c r="G444" s="16" t="s">
        <v>786</v>
      </c>
      <c r="H444" s="16">
        <v>20</v>
      </c>
      <c r="I444" s="16" t="s">
        <v>838</v>
      </c>
      <c r="J444" s="16" t="s">
        <v>88</v>
      </c>
      <c r="K444" s="16" t="s">
        <v>109</v>
      </c>
      <c r="L444" s="16" t="s">
        <v>90</v>
      </c>
      <c r="M444" s="64" t="s">
        <v>1213</v>
      </c>
    </row>
    <row r="445" spans="1:13" x14ac:dyDescent="0.25">
      <c r="A445" s="9" t="s">
        <v>126</v>
      </c>
      <c r="B445" s="9" t="s">
        <v>139</v>
      </c>
      <c r="C445" s="10" t="s">
        <v>839</v>
      </c>
      <c r="D445" s="9" t="s">
        <v>840</v>
      </c>
      <c r="E445" s="9">
        <v>34.5</v>
      </c>
      <c r="F445" s="21">
        <v>20</v>
      </c>
      <c r="G445" s="16" t="s">
        <v>782</v>
      </c>
      <c r="H445" s="16">
        <v>20</v>
      </c>
      <c r="I445" s="16" t="s">
        <v>838</v>
      </c>
      <c r="J445" s="16" t="s">
        <v>114</v>
      </c>
      <c r="K445" s="16" t="s">
        <v>89</v>
      </c>
      <c r="L445" s="16" t="s">
        <v>90</v>
      </c>
      <c r="M445" s="64" t="s">
        <v>1213</v>
      </c>
    </row>
    <row r="446" spans="1:13" x14ac:dyDescent="0.25">
      <c r="A446" s="9" t="s">
        <v>126</v>
      </c>
      <c r="B446" s="9" t="s">
        <v>139</v>
      </c>
      <c r="C446" s="10" t="s">
        <v>841</v>
      </c>
      <c r="D446" s="9" t="s">
        <v>842</v>
      </c>
      <c r="E446" s="9">
        <v>34.5</v>
      </c>
      <c r="F446" s="21">
        <v>28</v>
      </c>
      <c r="G446" s="16" t="s">
        <v>782</v>
      </c>
      <c r="H446" s="16">
        <v>28</v>
      </c>
      <c r="I446" s="16" t="s">
        <v>800</v>
      </c>
      <c r="J446" s="16" t="s">
        <v>114</v>
      </c>
      <c r="K446" s="16" t="s">
        <v>89</v>
      </c>
      <c r="L446" s="16" t="s">
        <v>90</v>
      </c>
      <c r="M446" s="64" t="s">
        <v>1213</v>
      </c>
    </row>
    <row r="447" spans="1:13" x14ac:dyDescent="0.25">
      <c r="A447" s="9" t="s">
        <v>126</v>
      </c>
      <c r="B447" s="9" t="s">
        <v>139</v>
      </c>
      <c r="C447" s="10" t="s">
        <v>843</v>
      </c>
      <c r="D447" s="9" t="s">
        <v>844</v>
      </c>
      <c r="E447" s="9">
        <v>34.5</v>
      </c>
      <c r="F447" s="21">
        <v>10</v>
      </c>
      <c r="G447" s="16" t="s">
        <v>782</v>
      </c>
      <c r="H447" s="16">
        <v>10</v>
      </c>
      <c r="I447" s="16" t="s">
        <v>596</v>
      </c>
      <c r="J447" s="16" t="s">
        <v>114</v>
      </c>
      <c r="K447" s="16" t="s">
        <v>89</v>
      </c>
      <c r="L447" s="16" t="s">
        <v>90</v>
      </c>
      <c r="M447" s="64" t="s">
        <v>1213</v>
      </c>
    </row>
    <row r="448" spans="1:13" x14ac:dyDescent="0.25">
      <c r="A448" s="9" t="s">
        <v>126</v>
      </c>
      <c r="B448" s="9" t="s">
        <v>139</v>
      </c>
      <c r="C448" s="10" t="s">
        <v>845</v>
      </c>
      <c r="D448" s="9" t="s">
        <v>846</v>
      </c>
      <c r="E448" s="9">
        <v>34.5</v>
      </c>
      <c r="F448" s="21">
        <v>10</v>
      </c>
      <c r="G448" s="16" t="s">
        <v>782</v>
      </c>
      <c r="H448" s="16">
        <v>10</v>
      </c>
      <c r="I448" s="16" t="s">
        <v>596</v>
      </c>
      <c r="J448" s="16" t="s">
        <v>114</v>
      </c>
      <c r="K448" s="16" t="s">
        <v>89</v>
      </c>
      <c r="L448" s="16" t="s">
        <v>90</v>
      </c>
      <c r="M448" s="64" t="s">
        <v>1213</v>
      </c>
    </row>
    <row r="449" spans="1:13" x14ac:dyDescent="0.25">
      <c r="A449" s="9" t="s">
        <v>126</v>
      </c>
      <c r="B449" s="9" t="s">
        <v>139</v>
      </c>
      <c r="C449" s="10" t="s">
        <v>845</v>
      </c>
      <c r="D449" s="9" t="s">
        <v>846</v>
      </c>
      <c r="E449" s="9">
        <v>34.5</v>
      </c>
      <c r="F449" s="21">
        <v>10</v>
      </c>
      <c r="G449" s="16" t="s">
        <v>794</v>
      </c>
      <c r="H449" s="16">
        <v>10</v>
      </c>
      <c r="I449" s="16" t="s">
        <v>596</v>
      </c>
      <c r="J449" s="16" t="s">
        <v>88</v>
      </c>
      <c r="K449" s="16" t="s">
        <v>109</v>
      </c>
      <c r="L449" s="16" t="s">
        <v>90</v>
      </c>
      <c r="M449" s="64" t="s">
        <v>1213</v>
      </c>
    </row>
    <row r="450" spans="1:13" x14ac:dyDescent="0.25">
      <c r="A450" s="9" t="s">
        <v>126</v>
      </c>
      <c r="B450" s="9" t="s">
        <v>139</v>
      </c>
      <c r="C450" s="10" t="s">
        <v>52</v>
      </c>
      <c r="D450" s="9" t="s">
        <v>847</v>
      </c>
      <c r="E450" s="9">
        <v>13.8</v>
      </c>
      <c r="F450" s="21" t="s">
        <v>848</v>
      </c>
      <c r="G450" s="16" t="s">
        <v>848</v>
      </c>
      <c r="H450" s="16">
        <v>0</v>
      </c>
      <c r="I450" s="16"/>
      <c r="J450" s="16"/>
      <c r="K450" s="16" t="s">
        <v>746</v>
      </c>
      <c r="L450" s="16"/>
      <c r="M450" s="64" t="s">
        <v>1213</v>
      </c>
    </row>
    <row r="451" spans="1:13" x14ac:dyDescent="0.25">
      <c r="A451" s="9" t="s">
        <v>634</v>
      </c>
      <c r="B451" s="9" t="s">
        <v>137</v>
      </c>
      <c r="C451" s="10" t="s">
        <v>849</v>
      </c>
      <c r="D451" s="9" t="s">
        <v>850</v>
      </c>
      <c r="E451" s="9">
        <v>34.5</v>
      </c>
      <c r="F451" s="21">
        <v>40</v>
      </c>
      <c r="G451" s="16" t="s">
        <v>851</v>
      </c>
      <c r="H451" s="16">
        <v>15</v>
      </c>
      <c r="I451" s="16" t="s">
        <v>852</v>
      </c>
      <c r="J451" s="16" t="s">
        <v>114</v>
      </c>
      <c r="K451" s="16" t="s">
        <v>89</v>
      </c>
      <c r="L451" s="16" t="s">
        <v>90</v>
      </c>
      <c r="M451" s="64" t="s">
        <v>1213</v>
      </c>
    </row>
    <row r="452" spans="1:13" x14ac:dyDescent="0.25">
      <c r="A452" s="9" t="s">
        <v>634</v>
      </c>
      <c r="B452" s="9" t="s">
        <v>137</v>
      </c>
      <c r="C452" s="10" t="s">
        <v>849</v>
      </c>
      <c r="D452" s="9" t="s">
        <v>850</v>
      </c>
      <c r="E452" s="9">
        <v>34.5</v>
      </c>
      <c r="F452" s="21">
        <v>40</v>
      </c>
      <c r="G452" s="16" t="s">
        <v>853</v>
      </c>
      <c r="H452" s="16" t="s">
        <v>854</v>
      </c>
      <c r="I452" s="16" t="s">
        <v>855</v>
      </c>
      <c r="J452" s="16" t="s">
        <v>114</v>
      </c>
      <c r="K452" s="16" t="s">
        <v>89</v>
      </c>
      <c r="L452" s="16" t="s">
        <v>90</v>
      </c>
      <c r="M452" s="64" t="s">
        <v>1213</v>
      </c>
    </row>
    <row r="453" spans="1:13" x14ac:dyDescent="0.25">
      <c r="A453" s="9" t="s">
        <v>634</v>
      </c>
      <c r="B453" s="9" t="s">
        <v>137</v>
      </c>
      <c r="C453" s="10" t="s">
        <v>849</v>
      </c>
      <c r="D453" s="9" t="s">
        <v>850</v>
      </c>
      <c r="E453" s="9">
        <v>34.5</v>
      </c>
      <c r="F453" s="21">
        <v>40</v>
      </c>
      <c r="G453" s="16" t="s">
        <v>856</v>
      </c>
      <c r="H453" s="16">
        <v>10</v>
      </c>
      <c r="I453" s="16" t="s">
        <v>857</v>
      </c>
      <c r="J453" s="16" t="s">
        <v>88</v>
      </c>
      <c r="K453" s="16" t="s">
        <v>109</v>
      </c>
      <c r="L453" s="16" t="s">
        <v>90</v>
      </c>
      <c r="M453" s="64" t="s">
        <v>1213</v>
      </c>
    </row>
    <row r="454" spans="1:13" x14ac:dyDescent="0.25">
      <c r="A454" s="9" t="s">
        <v>634</v>
      </c>
      <c r="B454" s="9" t="s">
        <v>137</v>
      </c>
      <c r="C454" s="10" t="s">
        <v>859</v>
      </c>
      <c r="D454" s="9" t="s">
        <v>860</v>
      </c>
      <c r="E454" s="9">
        <v>34.5</v>
      </c>
      <c r="F454" s="21">
        <v>10</v>
      </c>
      <c r="G454" s="16" t="s">
        <v>861</v>
      </c>
      <c r="H454" s="16">
        <v>10</v>
      </c>
      <c r="I454" s="16" t="s">
        <v>862</v>
      </c>
      <c r="J454" s="16" t="s">
        <v>114</v>
      </c>
      <c r="K454" s="16" t="s">
        <v>89</v>
      </c>
      <c r="L454" s="16" t="s">
        <v>90</v>
      </c>
      <c r="M454" s="64" t="s">
        <v>1213</v>
      </c>
    </row>
    <row r="455" spans="1:13" x14ac:dyDescent="0.25">
      <c r="A455" s="9" t="s">
        <v>634</v>
      </c>
      <c r="B455" s="9" t="s">
        <v>137</v>
      </c>
      <c r="C455" s="10" t="s">
        <v>859</v>
      </c>
      <c r="D455" s="9" t="s">
        <v>860</v>
      </c>
      <c r="E455" s="9">
        <v>34.5</v>
      </c>
      <c r="F455" s="21">
        <v>10</v>
      </c>
      <c r="G455" s="16" t="s">
        <v>853</v>
      </c>
      <c r="H455" s="16">
        <v>10</v>
      </c>
      <c r="I455" s="16" t="s">
        <v>863</v>
      </c>
      <c r="J455" s="16" t="s">
        <v>114</v>
      </c>
      <c r="K455" s="16" t="s">
        <v>89</v>
      </c>
      <c r="L455" s="16" t="s">
        <v>90</v>
      </c>
      <c r="M455" s="64" t="s">
        <v>1213</v>
      </c>
    </row>
    <row r="456" spans="1:13" x14ac:dyDescent="0.25">
      <c r="A456" s="9" t="s">
        <v>634</v>
      </c>
      <c r="B456" s="9" t="s">
        <v>137</v>
      </c>
      <c r="C456" s="10" t="s">
        <v>864</v>
      </c>
      <c r="D456" s="9" t="s">
        <v>865</v>
      </c>
      <c r="E456" s="9">
        <v>34.5</v>
      </c>
      <c r="F456" s="21">
        <v>10</v>
      </c>
      <c r="G456" s="16" t="s">
        <v>861</v>
      </c>
      <c r="H456" s="16">
        <v>10</v>
      </c>
      <c r="I456" s="16" t="s">
        <v>862</v>
      </c>
      <c r="J456" s="16" t="s">
        <v>88</v>
      </c>
      <c r="K456" s="16" t="s">
        <v>89</v>
      </c>
      <c r="L456" s="16" t="s">
        <v>90</v>
      </c>
      <c r="M456" s="64" t="s">
        <v>1213</v>
      </c>
    </row>
    <row r="457" spans="1:13" x14ac:dyDescent="0.25">
      <c r="A457" s="9" t="s">
        <v>634</v>
      </c>
      <c r="B457" s="9" t="s">
        <v>137</v>
      </c>
      <c r="C457" s="10" t="s">
        <v>680</v>
      </c>
      <c r="D457" s="9" t="s">
        <v>866</v>
      </c>
      <c r="E457" s="9">
        <v>34.5</v>
      </c>
      <c r="F457" s="21">
        <v>10</v>
      </c>
      <c r="G457" s="16" t="s">
        <v>853</v>
      </c>
      <c r="H457" s="16">
        <v>10</v>
      </c>
      <c r="I457" s="16" t="s">
        <v>862</v>
      </c>
      <c r="J457" s="16" t="s">
        <v>88</v>
      </c>
      <c r="K457" s="16" t="s">
        <v>89</v>
      </c>
      <c r="L457" s="16" t="s">
        <v>90</v>
      </c>
      <c r="M457" s="64" t="s">
        <v>1213</v>
      </c>
    </row>
    <row r="458" spans="1:13" x14ac:dyDescent="0.25">
      <c r="A458" s="9" t="s">
        <v>634</v>
      </c>
      <c r="B458" s="9" t="s">
        <v>137</v>
      </c>
      <c r="C458" s="10" t="s">
        <v>867</v>
      </c>
      <c r="D458" s="9" t="s">
        <v>868</v>
      </c>
      <c r="E458" s="9">
        <v>34.5</v>
      </c>
      <c r="F458" s="21">
        <v>10</v>
      </c>
      <c r="G458" s="16" t="s">
        <v>853</v>
      </c>
      <c r="H458" s="16">
        <v>10</v>
      </c>
      <c r="I458" s="16" t="s">
        <v>863</v>
      </c>
      <c r="J458" s="16" t="s">
        <v>88</v>
      </c>
      <c r="K458" s="16" t="s">
        <v>89</v>
      </c>
      <c r="L458" s="16" t="s">
        <v>90</v>
      </c>
      <c r="M458" s="64" t="s">
        <v>1213</v>
      </c>
    </row>
    <row r="459" spans="1:13" x14ac:dyDescent="0.25">
      <c r="A459" s="9" t="s">
        <v>634</v>
      </c>
      <c r="B459" s="9" t="s">
        <v>137</v>
      </c>
      <c r="C459" s="10" t="s">
        <v>869</v>
      </c>
      <c r="D459" s="9" t="s">
        <v>870</v>
      </c>
      <c r="E459" s="9">
        <v>34.5</v>
      </c>
      <c r="F459" s="21">
        <v>15</v>
      </c>
      <c r="G459" s="16" t="s">
        <v>851</v>
      </c>
      <c r="H459" s="16">
        <v>15</v>
      </c>
      <c r="I459" s="16" t="s">
        <v>871</v>
      </c>
      <c r="J459" s="16" t="s">
        <v>88</v>
      </c>
      <c r="K459" s="16" t="s">
        <v>89</v>
      </c>
      <c r="L459" s="16" t="s">
        <v>90</v>
      </c>
      <c r="M459" s="64" t="s">
        <v>1213</v>
      </c>
    </row>
    <row r="460" spans="1:13" x14ac:dyDescent="0.25">
      <c r="A460" s="9" t="s">
        <v>634</v>
      </c>
      <c r="B460" s="9" t="s">
        <v>137</v>
      </c>
      <c r="C460" s="10" t="s">
        <v>872</v>
      </c>
      <c r="D460" s="9" t="s">
        <v>873</v>
      </c>
      <c r="E460" s="9">
        <v>34.5</v>
      </c>
      <c r="F460" s="21">
        <v>10</v>
      </c>
      <c r="G460" s="16" t="s">
        <v>874</v>
      </c>
      <c r="H460" s="16" t="s">
        <v>875</v>
      </c>
      <c r="I460" s="16" t="s">
        <v>876</v>
      </c>
      <c r="J460" s="16" t="s">
        <v>114</v>
      </c>
      <c r="K460" s="16" t="s">
        <v>89</v>
      </c>
      <c r="L460" s="16" t="s">
        <v>93</v>
      </c>
      <c r="M460" s="64" t="s">
        <v>1213</v>
      </c>
    </row>
    <row r="461" spans="1:13" x14ac:dyDescent="0.25">
      <c r="A461" s="9" t="s">
        <v>634</v>
      </c>
      <c r="B461" s="9" t="s">
        <v>137</v>
      </c>
      <c r="C461" s="10" t="s">
        <v>872</v>
      </c>
      <c r="D461" s="9" t="s">
        <v>873</v>
      </c>
      <c r="E461" s="9">
        <v>34.5</v>
      </c>
      <c r="F461" s="21" t="s">
        <v>746</v>
      </c>
      <c r="G461" s="16" t="s">
        <v>746</v>
      </c>
      <c r="H461" s="16" t="s">
        <v>746</v>
      </c>
      <c r="I461" s="16" t="s">
        <v>746</v>
      </c>
      <c r="J461" s="16" t="s">
        <v>746</v>
      </c>
      <c r="K461" s="16" t="s">
        <v>746</v>
      </c>
      <c r="L461" s="16" t="s">
        <v>746</v>
      </c>
      <c r="M461" s="64" t="s">
        <v>1213</v>
      </c>
    </row>
    <row r="462" spans="1:13" x14ac:dyDescent="0.25">
      <c r="A462" s="9" t="s">
        <v>634</v>
      </c>
      <c r="B462" s="9" t="s">
        <v>137</v>
      </c>
      <c r="C462" s="10" t="s">
        <v>877</v>
      </c>
      <c r="D462" s="9" t="s">
        <v>878</v>
      </c>
      <c r="E462" s="9">
        <v>34.5</v>
      </c>
      <c r="F462" s="21">
        <v>10</v>
      </c>
      <c r="G462" s="16" t="s">
        <v>853</v>
      </c>
      <c r="H462" s="16" t="s">
        <v>879</v>
      </c>
      <c r="I462" s="16" t="s">
        <v>880</v>
      </c>
      <c r="J462" s="16" t="s">
        <v>114</v>
      </c>
      <c r="K462" s="16" t="s">
        <v>89</v>
      </c>
      <c r="L462" s="16" t="s">
        <v>90</v>
      </c>
      <c r="M462" s="64" t="s">
        <v>1213</v>
      </c>
    </row>
    <row r="463" spans="1:13" x14ac:dyDescent="0.25">
      <c r="A463" s="9" t="s">
        <v>634</v>
      </c>
      <c r="B463" s="9" t="s">
        <v>137</v>
      </c>
      <c r="C463" s="10" t="s">
        <v>881</v>
      </c>
      <c r="D463" s="9" t="s">
        <v>882</v>
      </c>
      <c r="E463" s="9">
        <v>34.5</v>
      </c>
      <c r="F463" s="21">
        <v>10</v>
      </c>
      <c r="G463" s="16" t="s">
        <v>883</v>
      </c>
      <c r="H463" s="16">
        <v>10</v>
      </c>
      <c r="I463" s="16" t="s">
        <v>862</v>
      </c>
      <c r="J463" s="16" t="s">
        <v>88</v>
      </c>
      <c r="K463" s="16" t="s">
        <v>89</v>
      </c>
      <c r="L463" s="16" t="s">
        <v>90</v>
      </c>
      <c r="M463" s="64" t="s">
        <v>1213</v>
      </c>
    </row>
    <row r="464" spans="1:13" x14ac:dyDescent="0.25">
      <c r="A464" s="9" t="s">
        <v>634</v>
      </c>
      <c r="B464" s="9" t="s">
        <v>137</v>
      </c>
      <c r="C464" s="10" t="s">
        <v>884</v>
      </c>
      <c r="D464" s="9" t="s">
        <v>885</v>
      </c>
      <c r="E464" s="9">
        <v>34.5</v>
      </c>
      <c r="F464" s="21">
        <v>30</v>
      </c>
      <c r="G464" s="16" t="s">
        <v>853</v>
      </c>
      <c r="H464" s="16" t="s">
        <v>886</v>
      </c>
      <c r="I464" s="16" t="s">
        <v>855</v>
      </c>
      <c r="J464" s="16" t="s">
        <v>88</v>
      </c>
      <c r="K464" s="16" t="s">
        <v>89</v>
      </c>
      <c r="L464" s="16" t="s">
        <v>90</v>
      </c>
      <c r="M464" s="64" t="s">
        <v>1213</v>
      </c>
    </row>
    <row r="465" spans="1:13" x14ac:dyDescent="0.25">
      <c r="A465" s="9" t="s">
        <v>634</v>
      </c>
      <c r="B465" s="9" t="s">
        <v>137</v>
      </c>
      <c r="C465" s="10" t="s">
        <v>884</v>
      </c>
      <c r="D465" s="9" t="s">
        <v>885</v>
      </c>
      <c r="E465" s="9">
        <v>34.5</v>
      </c>
      <c r="F465" s="21">
        <v>30</v>
      </c>
      <c r="G465" s="16" t="s">
        <v>851</v>
      </c>
      <c r="H465" s="16">
        <v>15</v>
      </c>
      <c r="I465" s="16" t="s">
        <v>852</v>
      </c>
      <c r="J465" s="16" t="s">
        <v>88</v>
      </c>
      <c r="K465" s="16" t="s">
        <v>109</v>
      </c>
      <c r="L465" s="16" t="s">
        <v>90</v>
      </c>
      <c r="M465" s="64" t="s">
        <v>1213</v>
      </c>
    </row>
    <row r="466" spans="1:13" x14ac:dyDescent="0.25">
      <c r="A466" s="9" t="s">
        <v>634</v>
      </c>
      <c r="B466" s="9" t="s">
        <v>137</v>
      </c>
      <c r="C466" s="10" t="s">
        <v>887</v>
      </c>
      <c r="D466" s="9" t="s">
        <v>888</v>
      </c>
      <c r="E466" s="9">
        <v>34.5</v>
      </c>
      <c r="F466" s="21">
        <v>10</v>
      </c>
      <c r="G466" s="16" t="s">
        <v>856</v>
      </c>
      <c r="H466" s="16">
        <v>10</v>
      </c>
      <c r="I466" s="16" t="s">
        <v>889</v>
      </c>
      <c r="J466" s="16" t="s">
        <v>114</v>
      </c>
      <c r="K466" s="16" t="s">
        <v>89</v>
      </c>
      <c r="L466" s="16" t="s">
        <v>90</v>
      </c>
      <c r="M466" s="64" t="s">
        <v>1213</v>
      </c>
    </row>
    <row r="467" spans="1:13" x14ac:dyDescent="0.25">
      <c r="A467" s="9" t="s">
        <v>445</v>
      </c>
      <c r="B467" s="9" t="s">
        <v>145</v>
      </c>
      <c r="C467" s="10" t="s">
        <v>156</v>
      </c>
      <c r="D467" s="9" t="s">
        <v>890</v>
      </c>
      <c r="E467" s="9">
        <v>12.47</v>
      </c>
      <c r="F467" s="21">
        <f>4.2*0.9</f>
        <v>3.7800000000000002</v>
      </c>
      <c r="G467" s="16" t="s">
        <v>536</v>
      </c>
      <c r="H467" s="16">
        <v>4.2</v>
      </c>
      <c r="I467" s="16" t="s">
        <v>891</v>
      </c>
      <c r="J467" s="16" t="s">
        <v>114</v>
      </c>
      <c r="K467" s="16" t="s">
        <v>89</v>
      </c>
      <c r="L467" s="16" t="s">
        <v>90</v>
      </c>
      <c r="M467" s="64" t="s">
        <v>1213</v>
      </c>
    </row>
    <row r="468" spans="1:13" x14ac:dyDescent="0.25">
      <c r="A468" s="9" t="s">
        <v>445</v>
      </c>
      <c r="B468" s="9" t="s">
        <v>145</v>
      </c>
      <c r="C468" s="10" t="s">
        <v>892</v>
      </c>
      <c r="D468" s="9" t="s">
        <v>893</v>
      </c>
      <c r="E468" s="9">
        <v>30</v>
      </c>
      <c r="F468" s="21">
        <f>3*0.9</f>
        <v>2.7</v>
      </c>
      <c r="G468" s="16" t="s">
        <v>549</v>
      </c>
      <c r="H468" s="16">
        <v>3</v>
      </c>
      <c r="I468" s="16" t="s">
        <v>894</v>
      </c>
      <c r="J468" s="16" t="s">
        <v>114</v>
      </c>
      <c r="K468" s="16" t="s">
        <v>89</v>
      </c>
      <c r="L468" s="16" t="s">
        <v>90</v>
      </c>
      <c r="M468" s="64" t="s">
        <v>1213</v>
      </c>
    </row>
    <row r="469" spans="1:13" x14ac:dyDescent="0.25">
      <c r="A469" s="9" t="s">
        <v>445</v>
      </c>
      <c r="B469" s="9" t="s">
        <v>145</v>
      </c>
      <c r="C469" s="10" t="s">
        <v>895</v>
      </c>
      <c r="D469" s="9" t="s">
        <v>896</v>
      </c>
      <c r="E469" s="9">
        <v>12.47</v>
      </c>
      <c r="F469" s="21">
        <f>6.25*0.9</f>
        <v>5.625</v>
      </c>
      <c r="G469" s="16" t="s">
        <v>897</v>
      </c>
      <c r="H469" s="16">
        <v>6.25</v>
      </c>
      <c r="I469" s="16" t="s">
        <v>891</v>
      </c>
      <c r="J469" s="16" t="s">
        <v>114</v>
      </c>
      <c r="K469" s="16" t="s">
        <v>89</v>
      </c>
      <c r="L469" s="16" t="s">
        <v>90</v>
      </c>
      <c r="M469" s="64" t="s">
        <v>1213</v>
      </c>
    </row>
    <row r="470" spans="1:13" x14ac:dyDescent="0.25">
      <c r="A470" s="9" t="s">
        <v>445</v>
      </c>
      <c r="B470" s="9" t="s">
        <v>145</v>
      </c>
      <c r="C470" s="10" t="s">
        <v>898</v>
      </c>
      <c r="D470" s="9" t="s">
        <v>899</v>
      </c>
      <c r="E470" s="9">
        <v>30</v>
      </c>
      <c r="F470" s="21">
        <f>14*0.9</f>
        <v>12.6</v>
      </c>
      <c r="G470" s="16" t="s">
        <v>900</v>
      </c>
      <c r="H470" s="16">
        <v>7</v>
      </c>
      <c r="I470" s="16" t="s">
        <v>901</v>
      </c>
      <c r="J470" s="16" t="s">
        <v>114</v>
      </c>
      <c r="K470" s="16" t="s">
        <v>89</v>
      </c>
      <c r="L470" s="16" t="s">
        <v>90</v>
      </c>
      <c r="M470" s="64" t="s">
        <v>1213</v>
      </c>
    </row>
    <row r="471" spans="1:13" x14ac:dyDescent="0.25">
      <c r="A471" s="9" t="s">
        <v>445</v>
      </c>
      <c r="B471" s="9" t="s">
        <v>145</v>
      </c>
      <c r="C471" s="10" t="s">
        <v>898</v>
      </c>
      <c r="D471" s="9" t="s">
        <v>899</v>
      </c>
      <c r="E471" s="9">
        <v>30</v>
      </c>
      <c r="F471" s="21">
        <f>14*0.9</f>
        <v>12.6</v>
      </c>
      <c r="G471" s="16" t="s">
        <v>902</v>
      </c>
      <c r="H471" s="16">
        <v>7</v>
      </c>
      <c r="I471" s="16" t="s">
        <v>901</v>
      </c>
      <c r="J471" s="16" t="s">
        <v>114</v>
      </c>
      <c r="K471" s="16" t="s">
        <v>89</v>
      </c>
      <c r="L471" s="16" t="s">
        <v>90</v>
      </c>
      <c r="M471" s="64" t="s">
        <v>1213</v>
      </c>
    </row>
    <row r="472" spans="1:13" x14ac:dyDescent="0.25">
      <c r="A472" s="9" t="s">
        <v>445</v>
      </c>
      <c r="B472" s="9" t="s">
        <v>145</v>
      </c>
      <c r="C472" s="10" t="s">
        <v>903</v>
      </c>
      <c r="D472" s="9" t="s">
        <v>904</v>
      </c>
      <c r="E472" s="9">
        <v>30</v>
      </c>
      <c r="F472" s="21">
        <f>5.25*0.9</f>
        <v>4.7250000000000005</v>
      </c>
      <c r="G472" s="16" t="s">
        <v>905</v>
      </c>
      <c r="H472" s="16">
        <v>5.25</v>
      </c>
      <c r="I472" s="16" t="s">
        <v>906</v>
      </c>
      <c r="J472" s="16" t="s">
        <v>114</v>
      </c>
      <c r="K472" s="16" t="s">
        <v>89</v>
      </c>
      <c r="L472" s="16" t="s">
        <v>90</v>
      </c>
      <c r="M472" s="64" t="s">
        <v>1213</v>
      </c>
    </row>
    <row r="473" spans="1:13" x14ac:dyDescent="0.25">
      <c r="A473" s="9" t="s">
        <v>445</v>
      </c>
      <c r="B473" s="9" t="s">
        <v>145</v>
      </c>
      <c r="C473" s="10" t="s">
        <v>903</v>
      </c>
      <c r="D473" s="9" t="s">
        <v>904</v>
      </c>
      <c r="E473" s="9">
        <v>30</v>
      </c>
      <c r="F473" s="21">
        <f>5.25*0.9</f>
        <v>4.7250000000000005</v>
      </c>
      <c r="G473" s="16" t="s">
        <v>907</v>
      </c>
      <c r="H473" s="16">
        <v>5.25</v>
      </c>
      <c r="I473" s="16" t="s">
        <v>906</v>
      </c>
      <c r="J473" s="16" t="s">
        <v>114</v>
      </c>
      <c r="K473" s="16" t="s">
        <v>89</v>
      </c>
      <c r="L473" s="16" t="s">
        <v>90</v>
      </c>
      <c r="M473" s="64" t="s">
        <v>1213</v>
      </c>
    </row>
    <row r="474" spans="1:13" x14ac:dyDescent="0.25">
      <c r="A474" s="9" t="s">
        <v>445</v>
      </c>
      <c r="B474" s="9" t="s">
        <v>145</v>
      </c>
      <c r="C474" s="10" t="s">
        <v>903</v>
      </c>
      <c r="D474" s="9" t="s">
        <v>904</v>
      </c>
      <c r="E474" s="9">
        <v>30</v>
      </c>
      <c r="F474" s="21">
        <f>5.25*0.9</f>
        <v>4.7250000000000005</v>
      </c>
      <c r="G474" s="16" t="s">
        <v>908</v>
      </c>
      <c r="H474" s="16">
        <v>5.25</v>
      </c>
      <c r="I474" s="16" t="s">
        <v>906</v>
      </c>
      <c r="J474" s="16" t="s">
        <v>114</v>
      </c>
      <c r="K474" s="16" t="s">
        <v>89</v>
      </c>
      <c r="L474" s="16" t="s">
        <v>90</v>
      </c>
      <c r="M474" s="64" t="s">
        <v>1213</v>
      </c>
    </row>
    <row r="475" spans="1:13" x14ac:dyDescent="0.25">
      <c r="A475" s="9" t="s">
        <v>445</v>
      </c>
      <c r="B475" s="9" t="s">
        <v>145</v>
      </c>
      <c r="C475" s="10" t="s">
        <v>909</v>
      </c>
      <c r="D475" s="9" t="s">
        <v>910</v>
      </c>
      <c r="E475" s="9">
        <v>30</v>
      </c>
      <c r="F475" s="21">
        <f>0.5*0.9</f>
        <v>0.45</v>
      </c>
      <c r="G475" s="16" t="s">
        <v>911</v>
      </c>
      <c r="H475" s="16">
        <v>0.5</v>
      </c>
      <c r="I475" s="16" t="s">
        <v>912</v>
      </c>
      <c r="J475" s="16" t="s">
        <v>114</v>
      </c>
      <c r="K475" s="16" t="s">
        <v>89</v>
      </c>
      <c r="L475" s="16" t="s">
        <v>90</v>
      </c>
      <c r="M475" s="64" t="s">
        <v>1213</v>
      </c>
    </row>
    <row r="476" spans="1:13" x14ac:dyDescent="0.25">
      <c r="A476" s="9" t="s">
        <v>445</v>
      </c>
      <c r="B476" s="9" t="s">
        <v>145</v>
      </c>
      <c r="C476" s="10" t="s">
        <v>909</v>
      </c>
      <c r="D476" s="9" t="s">
        <v>910</v>
      </c>
      <c r="E476" s="9">
        <v>30</v>
      </c>
      <c r="F476" s="21">
        <f>0.5*0.9</f>
        <v>0.45</v>
      </c>
      <c r="G476" s="16" t="s">
        <v>913</v>
      </c>
      <c r="H476" s="16">
        <v>0.5</v>
      </c>
      <c r="I476" s="16" t="s">
        <v>912</v>
      </c>
      <c r="J476" s="16" t="s">
        <v>114</v>
      </c>
      <c r="K476" s="16" t="s">
        <v>89</v>
      </c>
      <c r="L476" s="16" t="s">
        <v>90</v>
      </c>
      <c r="M476" s="64" t="s">
        <v>1213</v>
      </c>
    </row>
    <row r="477" spans="1:13" x14ac:dyDescent="0.25">
      <c r="A477" s="9" t="s">
        <v>445</v>
      </c>
      <c r="B477" s="9" t="s">
        <v>145</v>
      </c>
      <c r="C477" s="10" t="s">
        <v>909</v>
      </c>
      <c r="D477" s="9" t="s">
        <v>910</v>
      </c>
      <c r="E477" s="9">
        <v>30</v>
      </c>
      <c r="F477" s="21">
        <f>0.5*0.9</f>
        <v>0.45</v>
      </c>
      <c r="G477" s="16" t="s">
        <v>914</v>
      </c>
      <c r="H477" s="16">
        <v>0.5</v>
      </c>
      <c r="I477" s="16" t="s">
        <v>912</v>
      </c>
      <c r="J477" s="16" t="s">
        <v>114</v>
      </c>
      <c r="K477" s="16" t="s">
        <v>89</v>
      </c>
      <c r="L477" s="16" t="s">
        <v>90</v>
      </c>
      <c r="M477" s="64" t="s">
        <v>1213</v>
      </c>
    </row>
    <row r="478" spans="1:13" x14ac:dyDescent="0.25">
      <c r="A478" s="9" t="s">
        <v>445</v>
      </c>
      <c r="B478" s="9" t="s">
        <v>145</v>
      </c>
      <c r="C478" s="10" t="s">
        <v>915</v>
      </c>
      <c r="D478" s="9" t="s">
        <v>916</v>
      </c>
      <c r="E478" s="9">
        <v>30</v>
      </c>
      <c r="F478" s="21">
        <f>10*0.9</f>
        <v>9</v>
      </c>
      <c r="G478" s="16" t="s">
        <v>917</v>
      </c>
      <c r="H478" s="16">
        <v>10</v>
      </c>
      <c r="I478" s="16" t="s">
        <v>918</v>
      </c>
      <c r="J478" s="16" t="s">
        <v>114</v>
      </c>
      <c r="K478" s="16" t="s">
        <v>89</v>
      </c>
      <c r="L478" s="16" t="s">
        <v>93</v>
      </c>
      <c r="M478" s="64" t="s">
        <v>1213</v>
      </c>
    </row>
    <row r="479" spans="1:13" x14ac:dyDescent="0.25">
      <c r="A479" s="9" t="s">
        <v>445</v>
      </c>
      <c r="B479" s="9" t="s">
        <v>145</v>
      </c>
      <c r="C479" s="10" t="s">
        <v>919</v>
      </c>
      <c r="D479" s="9" t="s">
        <v>920</v>
      </c>
      <c r="E479" s="9">
        <v>30</v>
      </c>
      <c r="F479" s="21">
        <f>5.25*0.9</f>
        <v>4.7250000000000005</v>
      </c>
      <c r="G479" s="16" t="s">
        <v>921</v>
      </c>
      <c r="H479" s="16">
        <v>5.25</v>
      </c>
      <c r="I479" s="16" t="s">
        <v>922</v>
      </c>
      <c r="J479" s="16" t="s">
        <v>114</v>
      </c>
      <c r="K479" s="16" t="s">
        <v>89</v>
      </c>
      <c r="L479" s="16" t="s">
        <v>90</v>
      </c>
      <c r="M479" s="64" t="s">
        <v>1213</v>
      </c>
    </row>
    <row r="480" spans="1:13" x14ac:dyDescent="0.25">
      <c r="A480" s="9" t="s">
        <v>445</v>
      </c>
      <c r="B480" s="9" t="s">
        <v>145</v>
      </c>
      <c r="C480" s="10" t="s">
        <v>919</v>
      </c>
      <c r="D480" s="9" t="s">
        <v>923</v>
      </c>
      <c r="E480" s="9">
        <v>30</v>
      </c>
      <c r="F480" s="21">
        <f>5.25*0.9</f>
        <v>4.7250000000000005</v>
      </c>
      <c r="G480" s="16" t="s">
        <v>924</v>
      </c>
      <c r="H480" s="16">
        <v>5.25</v>
      </c>
      <c r="I480" s="16" t="s">
        <v>922</v>
      </c>
      <c r="J480" s="16" t="s">
        <v>114</v>
      </c>
      <c r="K480" s="16" t="s">
        <v>89</v>
      </c>
      <c r="L480" s="16" t="s">
        <v>90</v>
      </c>
      <c r="M480" s="64" t="s">
        <v>1213</v>
      </c>
    </row>
    <row r="481" spans="1:13" x14ac:dyDescent="0.25">
      <c r="A481" s="9" t="s">
        <v>445</v>
      </c>
      <c r="B481" s="9" t="s">
        <v>145</v>
      </c>
      <c r="C481" s="10" t="s">
        <v>925</v>
      </c>
      <c r="D481" s="9" t="s">
        <v>926</v>
      </c>
      <c r="E481" s="9">
        <v>30</v>
      </c>
      <c r="F481" s="21">
        <f t="shared" ref="F481:F486" si="0">0.5*0.9</f>
        <v>0.45</v>
      </c>
      <c r="G481" s="16" t="s">
        <v>927</v>
      </c>
      <c r="H481" s="16">
        <v>0.5</v>
      </c>
      <c r="I481" s="16" t="s">
        <v>912</v>
      </c>
      <c r="J481" s="16" t="s">
        <v>114</v>
      </c>
      <c r="K481" s="16" t="s">
        <v>89</v>
      </c>
      <c r="L481" s="16" t="s">
        <v>90</v>
      </c>
      <c r="M481" s="64" t="s">
        <v>1213</v>
      </c>
    </row>
    <row r="482" spans="1:13" x14ac:dyDescent="0.25">
      <c r="A482" s="9" t="s">
        <v>445</v>
      </c>
      <c r="B482" s="9" t="s">
        <v>145</v>
      </c>
      <c r="C482" s="10" t="s">
        <v>925</v>
      </c>
      <c r="D482" s="9" t="s">
        <v>926</v>
      </c>
      <c r="E482" s="9">
        <v>30</v>
      </c>
      <c r="F482" s="21">
        <f t="shared" si="0"/>
        <v>0.45</v>
      </c>
      <c r="G482" s="16" t="s">
        <v>928</v>
      </c>
      <c r="H482" s="16">
        <v>0.5</v>
      </c>
      <c r="I482" s="16" t="s">
        <v>912</v>
      </c>
      <c r="J482" s="16" t="s">
        <v>114</v>
      </c>
      <c r="K482" s="16" t="s">
        <v>89</v>
      </c>
      <c r="L482" s="16" t="s">
        <v>90</v>
      </c>
      <c r="M482" s="64" t="s">
        <v>1213</v>
      </c>
    </row>
    <row r="483" spans="1:13" x14ac:dyDescent="0.25">
      <c r="A483" s="9" t="s">
        <v>445</v>
      </c>
      <c r="B483" s="9" t="s">
        <v>145</v>
      </c>
      <c r="C483" s="10" t="s">
        <v>925</v>
      </c>
      <c r="D483" s="9" t="s">
        <v>926</v>
      </c>
      <c r="E483" s="9">
        <v>30</v>
      </c>
      <c r="F483" s="21">
        <f t="shared" si="0"/>
        <v>0.45</v>
      </c>
      <c r="G483" s="16" t="s">
        <v>929</v>
      </c>
      <c r="H483" s="16">
        <v>0.5</v>
      </c>
      <c r="I483" s="16" t="s">
        <v>912</v>
      </c>
      <c r="J483" s="16" t="s">
        <v>114</v>
      </c>
      <c r="K483" s="16" t="s">
        <v>89</v>
      </c>
      <c r="L483" s="16" t="s">
        <v>90</v>
      </c>
      <c r="M483" s="64" t="s">
        <v>1213</v>
      </c>
    </row>
    <row r="484" spans="1:13" x14ac:dyDescent="0.25">
      <c r="A484" s="9" t="s">
        <v>445</v>
      </c>
      <c r="B484" s="9" t="s">
        <v>145</v>
      </c>
      <c r="C484" s="10" t="s">
        <v>925</v>
      </c>
      <c r="D484" s="9" t="s">
        <v>926</v>
      </c>
      <c r="E484" s="9">
        <v>30</v>
      </c>
      <c r="F484" s="21">
        <f t="shared" si="0"/>
        <v>0.45</v>
      </c>
      <c r="G484" s="16" t="s">
        <v>930</v>
      </c>
      <c r="H484" s="16">
        <v>0.5</v>
      </c>
      <c r="I484" s="16" t="s">
        <v>912</v>
      </c>
      <c r="J484" s="16" t="s">
        <v>114</v>
      </c>
      <c r="K484" s="16" t="s">
        <v>89</v>
      </c>
      <c r="L484" s="16" t="s">
        <v>90</v>
      </c>
      <c r="M484" s="64" t="s">
        <v>1213</v>
      </c>
    </row>
    <row r="485" spans="1:13" x14ac:dyDescent="0.25">
      <c r="A485" s="9" t="s">
        <v>445</v>
      </c>
      <c r="B485" s="9" t="s">
        <v>145</v>
      </c>
      <c r="C485" s="10" t="s">
        <v>925</v>
      </c>
      <c r="D485" s="9" t="s">
        <v>926</v>
      </c>
      <c r="E485" s="9">
        <v>30</v>
      </c>
      <c r="F485" s="21">
        <f t="shared" si="0"/>
        <v>0.45</v>
      </c>
      <c r="G485" s="16" t="s">
        <v>931</v>
      </c>
      <c r="H485" s="16">
        <v>0.5</v>
      </c>
      <c r="I485" s="16" t="s">
        <v>912</v>
      </c>
      <c r="J485" s="16" t="s">
        <v>114</v>
      </c>
      <c r="K485" s="16" t="s">
        <v>89</v>
      </c>
      <c r="L485" s="16" t="s">
        <v>90</v>
      </c>
      <c r="M485" s="64" t="s">
        <v>1213</v>
      </c>
    </row>
    <row r="486" spans="1:13" x14ac:dyDescent="0.25">
      <c r="A486" s="9" t="s">
        <v>445</v>
      </c>
      <c r="B486" s="9" t="s">
        <v>145</v>
      </c>
      <c r="C486" s="10" t="s">
        <v>925</v>
      </c>
      <c r="D486" s="9" t="s">
        <v>926</v>
      </c>
      <c r="E486" s="9">
        <v>30</v>
      </c>
      <c r="F486" s="21">
        <f t="shared" si="0"/>
        <v>0.45</v>
      </c>
      <c r="G486" s="16" t="s">
        <v>932</v>
      </c>
      <c r="H486" s="16">
        <v>0.5</v>
      </c>
      <c r="I486" s="16" t="s">
        <v>912</v>
      </c>
      <c r="J486" s="16" t="s">
        <v>114</v>
      </c>
      <c r="K486" s="16" t="s">
        <v>89</v>
      </c>
      <c r="L486" s="16" t="s">
        <v>90</v>
      </c>
      <c r="M486" s="64" t="s">
        <v>1213</v>
      </c>
    </row>
    <row r="487" spans="1:13" x14ac:dyDescent="0.25">
      <c r="A487" s="9" t="s">
        <v>445</v>
      </c>
      <c r="B487" s="9" t="s">
        <v>145</v>
      </c>
      <c r="C487" s="10" t="s">
        <v>933</v>
      </c>
      <c r="D487" s="9" t="s">
        <v>934</v>
      </c>
      <c r="E487" s="9">
        <v>30</v>
      </c>
      <c r="F487" s="21">
        <f>0.55*0.9</f>
        <v>0.49500000000000005</v>
      </c>
      <c r="G487" s="16" t="s">
        <v>935</v>
      </c>
      <c r="H487" s="16">
        <v>0.55000000000000004</v>
      </c>
      <c r="I487" s="16" t="s">
        <v>936</v>
      </c>
      <c r="J487" s="16" t="s">
        <v>114</v>
      </c>
      <c r="K487" s="16" t="s">
        <v>89</v>
      </c>
      <c r="L487" s="16" t="s">
        <v>90</v>
      </c>
      <c r="M487" s="64" t="s">
        <v>1213</v>
      </c>
    </row>
    <row r="488" spans="1:13" x14ac:dyDescent="0.25">
      <c r="A488" s="9" t="s">
        <v>445</v>
      </c>
      <c r="B488" s="9" t="s">
        <v>145</v>
      </c>
      <c r="C488" s="10" t="s">
        <v>933</v>
      </c>
      <c r="D488" s="9" t="s">
        <v>934</v>
      </c>
      <c r="E488" s="9">
        <v>30</v>
      </c>
      <c r="F488" s="21">
        <f>0.55*0.9</f>
        <v>0.49500000000000005</v>
      </c>
      <c r="G488" s="16" t="s">
        <v>937</v>
      </c>
      <c r="H488" s="16">
        <v>0.55000000000000004</v>
      </c>
      <c r="I488" s="16" t="s">
        <v>936</v>
      </c>
      <c r="J488" s="16" t="s">
        <v>114</v>
      </c>
      <c r="K488" s="16" t="s">
        <v>89</v>
      </c>
      <c r="L488" s="16" t="s">
        <v>90</v>
      </c>
      <c r="M488" s="64" t="s">
        <v>1213</v>
      </c>
    </row>
    <row r="489" spans="1:13" x14ac:dyDescent="0.25">
      <c r="A489" s="9" t="s">
        <v>445</v>
      </c>
      <c r="B489" s="9" t="s">
        <v>145</v>
      </c>
      <c r="C489" s="10" t="s">
        <v>933</v>
      </c>
      <c r="D489" s="9" t="s">
        <v>934</v>
      </c>
      <c r="E489" s="9">
        <v>30</v>
      </c>
      <c r="F489" s="21">
        <f>0.55*0.9</f>
        <v>0.49500000000000005</v>
      </c>
      <c r="G489" s="16" t="s">
        <v>938</v>
      </c>
      <c r="H489" s="16">
        <v>0.55000000000000004</v>
      </c>
      <c r="I489" s="16" t="s">
        <v>936</v>
      </c>
      <c r="J489" s="16" t="s">
        <v>114</v>
      </c>
      <c r="K489" s="16" t="s">
        <v>89</v>
      </c>
      <c r="L489" s="16" t="s">
        <v>90</v>
      </c>
      <c r="M489" s="64" t="s">
        <v>1213</v>
      </c>
    </row>
    <row r="490" spans="1:13" x14ac:dyDescent="0.25">
      <c r="A490" s="9" t="s">
        <v>445</v>
      </c>
      <c r="B490" s="9" t="s">
        <v>145</v>
      </c>
      <c r="C490" s="10" t="s">
        <v>939</v>
      </c>
      <c r="D490" s="9" t="s">
        <v>940</v>
      </c>
      <c r="E490" s="9">
        <v>30</v>
      </c>
      <c r="F490" s="21">
        <f>3.7*0.9</f>
        <v>3.33</v>
      </c>
      <c r="G490" s="16" t="s">
        <v>941</v>
      </c>
      <c r="H490" s="16">
        <v>3.7</v>
      </c>
      <c r="I490" s="16" t="s">
        <v>891</v>
      </c>
      <c r="J490" s="16" t="s">
        <v>114</v>
      </c>
      <c r="K490" s="16" t="s">
        <v>89</v>
      </c>
      <c r="L490" s="16" t="s">
        <v>90</v>
      </c>
      <c r="M490" s="64" t="s">
        <v>1213</v>
      </c>
    </row>
    <row r="491" spans="1:13" x14ac:dyDescent="0.25">
      <c r="A491" s="9" t="s">
        <v>445</v>
      </c>
      <c r="B491" s="9" t="s">
        <v>145</v>
      </c>
      <c r="C491" s="10" t="s">
        <v>939</v>
      </c>
      <c r="D491" s="9" t="s">
        <v>940</v>
      </c>
      <c r="E491" s="9">
        <v>30</v>
      </c>
      <c r="F491" s="21">
        <f>2.3*0.9</f>
        <v>2.0699999999999998</v>
      </c>
      <c r="G491" s="16" t="s">
        <v>942</v>
      </c>
      <c r="H491" s="16">
        <v>2.2999999999999998</v>
      </c>
      <c r="I491" s="16" t="s">
        <v>894</v>
      </c>
      <c r="J491" s="16" t="s">
        <v>114</v>
      </c>
      <c r="K491" s="16" t="s">
        <v>89</v>
      </c>
      <c r="L491" s="16" t="s">
        <v>90</v>
      </c>
      <c r="M491" s="64" t="s">
        <v>1213</v>
      </c>
    </row>
    <row r="492" spans="1:13" x14ac:dyDescent="0.25">
      <c r="A492" s="9" t="s">
        <v>445</v>
      </c>
      <c r="B492" s="9" t="s">
        <v>145</v>
      </c>
      <c r="C492" s="10" t="s">
        <v>943</v>
      </c>
      <c r="D492" s="9" t="s">
        <v>944</v>
      </c>
      <c r="E492" s="9">
        <v>30</v>
      </c>
      <c r="F492" s="21">
        <f>10.5*0.9</f>
        <v>9.4500000000000011</v>
      </c>
      <c r="G492" s="16" t="s">
        <v>945</v>
      </c>
      <c r="H492" s="16">
        <v>10.5</v>
      </c>
      <c r="I492" s="16" t="s">
        <v>922</v>
      </c>
      <c r="J492" s="16" t="s">
        <v>114</v>
      </c>
      <c r="K492" s="16" t="s">
        <v>89</v>
      </c>
      <c r="L492" s="16" t="s">
        <v>90</v>
      </c>
      <c r="M492" s="64" t="s">
        <v>1213</v>
      </c>
    </row>
    <row r="493" spans="1:13" x14ac:dyDescent="0.25">
      <c r="A493" s="9" t="s">
        <v>445</v>
      </c>
      <c r="B493" s="9" t="s">
        <v>145</v>
      </c>
      <c r="C493" s="10" t="s">
        <v>943</v>
      </c>
      <c r="D493" s="9" t="s">
        <v>944</v>
      </c>
      <c r="E493" s="9">
        <v>30</v>
      </c>
      <c r="F493" s="21">
        <f>2.3*0.9</f>
        <v>2.0699999999999998</v>
      </c>
      <c r="G493" s="16" t="s">
        <v>946</v>
      </c>
      <c r="H493" s="16">
        <v>2.2999999999999998</v>
      </c>
      <c r="I493" s="16" t="s">
        <v>894</v>
      </c>
      <c r="J493" s="16" t="s">
        <v>114</v>
      </c>
      <c r="K493" s="16" t="s">
        <v>89</v>
      </c>
      <c r="L493" s="16" t="s">
        <v>90</v>
      </c>
      <c r="M493" s="64" t="s">
        <v>1213</v>
      </c>
    </row>
    <row r="494" spans="1:13" x14ac:dyDescent="0.25">
      <c r="A494" s="9" t="s">
        <v>445</v>
      </c>
      <c r="B494" s="9" t="s">
        <v>145</v>
      </c>
      <c r="C494" s="10" t="s">
        <v>943</v>
      </c>
      <c r="D494" s="9" t="s">
        <v>944</v>
      </c>
      <c r="E494" s="9">
        <v>30</v>
      </c>
      <c r="F494" s="21">
        <f>2.3*0.9</f>
        <v>2.0699999999999998</v>
      </c>
      <c r="G494" s="16" t="s">
        <v>947</v>
      </c>
      <c r="H494" s="16">
        <v>2.2999999999999998</v>
      </c>
      <c r="I494" s="16" t="s">
        <v>894</v>
      </c>
      <c r="J494" s="16" t="s">
        <v>114</v>
      </c>
      <c r="K494" s="16" t="s">
        <v>89</v>
      </c>
      <c r="L494" s="16" t="s">
        <v>90</v>
      </c>
      <c r="M494" s="64" t="s">
        <v>1213</v>
      </c>
    </row>
    <row r="495" spans="1:13" x14ac:dyDescent="0.25">
      <c r="A495" s="9" t="s">
        <v>445</v>
      </c>
      <c r="B495" s="9" t="s">
        <v>145</v>
      </c>
      <c r="C495" s="10" t="s">
        <v>948</v>
      </c>
      <c r="D495" s="9" t="s">
        <v>949</v>
      </c>
      <c r="E495" s="9">
        <v>30</v>
      </c>
      <c r="F495" s="21">
        <f>0.5*0.9</f>
        <v>0.45</v>
      </c>
      <c r="G495" s="16" t="s">
        <v>950</v>
      </c>
      <c r="H495" s="16">
        <v>0.5</v>
      </c>
      <c r="I495" s="16" t="s">
        <v>912</v>
      </c>
      <c r="J495" s="16" t="s">
        <v>114</v>
      </c>
      <c r="K495" s="16" t="s">
        <v>89</v>
      </c>
      <c r="L495" s="16" t="s">
        <v>90</v>
      </c>
      <c r="M495" s="64" t="s">
        <v>1213</v>
      </c>
    </row>
    <row r="496" spans="1:13" x14ac:dyDescent="0.25">
      <c r="A496" s="9" t="s">
        <v>445</v>
      </c>
      <c r="B496" s="9" t="s">
        <v>145</v>
      </c>
      <c r="C496" s="10" t="s">
        <v>948</v>
      </c>
      <c r="D496" s="9" t="s">
        <v>949</v>
      </c>
      <c r="E496" s="9">
        <v>30</v>
      </c>
      <c r="F496" s="21">
        <f>0.5*0.9</f>
        <v>0.45</v>
      </c>
      <c r="G496" s="16" t="s">
        <v>951</v>
      </c>
      <c r="H496" s="16">
        <v>0.5</v>
      </c>
      <c r="I496" s="16" t="s">
        <v>912</v>
      </c>
      <c r="J496" s="16" t="s">
        <v>114</v>
      </c>
      <c r="K496" s="16" t="s">
        <v>89</v>
      </c>
      <c r="L496" s="16" t="s">
        <v>90</v>
      </c>
      <c r="M496" s="64" t="s">
        <v>1213</v>
      </c>
    </row>
    <row r="497" spans="1:13" x14ac:dyDescent="0.25">
      <c r="A497" s="9" t="s">
        <v>445</v>
      </c>
      <c r="B497" s="9" t="s">
        <v>145</v>
      </c>
      <c r="C497" s="10" t="s">
        <v>948</v>
      </c>
      <c r="D497" s="9" t="s">
        <v>949</v>
      </c>
      <c r="E497" s="9">
        <v>30</v>
      </c>
      <c r="F497" s="21">
        <f>0.5*0.9</f>
        <v>0.45</v>
      </c>
      <c r="G497" s="16" t="s">
        <v>952</v>
      </c>
      <c r="H497" s="16">
        <v>0.5</v>
      </c>
      <c r="I497" s="16" t="s">
        <v>912</v>
      </c>
      <c r="J497" s="16" t="s">
        <v>114</v>
      </c>
      <c r="K497" s="16" t="s">
        <v>89</v>
      </c>
      <c r="L497" s="16" t="s">
        <v>90</v>
      </c>
      <c r="M497" s="64" t="s">
        <v>1213</v>
      </c>
    </row>
    <row r="498" spans="1:13" x14ac:dyDescent="0.25">
      <c r="A498" s="9" t="s">
        <v>953</v>
      </c>
      <c r="B498" s="9" t="s">
        <v>154</v>
      </c>
      <c r="C498" s="10" t="s">
        <v>954</v>
      </c>
      <c r="D498" s="9" t="s">
        <v>955</v>
      </c>
      <c r="E498" s="9">
        <v>34.5</v>
      </c>
      <c r="F498" s="21">
        <v>40</v>
      </c>
      <c r="G498" s="16" t="s">
        <v>956</v>
      </c>
      <c r="H498" s="16">
        <v>20</v>
      </c>
      <c r="I498" s="16" t="s">
        <v>957</v>
      </c>
      <c r="J498" s="16"/>
      <c r="K498" s="16" t="s">
        <v>89</v>
      </c>
      <c r="L498" s="16" t="s">
        <v>90</v>
      </c>
      <c r="M498" s="64" t="s">
        <v>1213</v>
      </c>
    </row>
    <row r="499" spans="1:13" x14ac:dyDescent="0.25">
      <c r="A499" s="9" t="s">
        <v>953</v>
      </c>
      <c r="B499" s="9" t="s">
        <v>154</v>
      </c>
      <c r="C499" s="10" t="s">
        <v>954</v>
      </c>
      <c r="D499" s="9" t="s">
        <v>955</v>
      </c>
      <c r="E499" s="9">
        <v>34.5</v>
      </c>
      <c r="F499" s="21">
        <v>40</v>
      </c>
      <c r="G499" s="16" t="s">
        <v>958</v>
      </c>
      <c r="H499" s="16">
        <v>20</v>
      </c>
      <c r="I499" s="16" t="s">
        <v>959</v>
      </c>
      <c r="J499" s="16"/>
      <c r="K499" s="16" t="s">
        <v>89</v>
      </c>
      <c r="L499" s="16" t="s">
        <v>90</v>
      </c>
      <c r="M499" s="64" t="s">
        <v>1213</v>
      </c>
    </row>
    <row r="500" spans="1:13" x14ac:dyDescent="0.25">
      <c r="A500" s="9" t="s">
        <v>953</v>
      </c>
      <c r="B500" s="9" t="s">
        <v>154</v>
      </c>
      <c r="C500" s="10" t="s">
        <v>960</v>
      </c>
      <c r="D500" s="9" t="s">
        <v>961</v>
      </c>
      <c r="E500" s="9">
        <v>34.5</v>
      </c>
      <c r="F500" s="21">
        <v>40</v>
      </c>
      <c r="G500" s="16" t="s">
        <v>956</v>
      </c>
      <c r="H500" s="16">
        <v>20</v>
      </c>
      <c r="I500" s="16" t="s">
        <v>962</v>
      </c>
      <c r="J500" s="16"/>
      <c r="K500" s="16" t="s">
        <v>89</v>
      </c>
      <c r="L500" s="16" t="s">
        <v>90</v>
      </c>
      <c r="M500" s="64" t="s">
        <v>1213</v>
      </c>
    </row>
    <row r="501" spans="1:13" x14ac:dyDescent="0.25">
      <c r="A501" s="9" t="s">
        <v>953</v>
      </c>
      <c r="B501" s="9" t="s">
        <v>154</v>
      </c>
      <c r="C501" s="10" t="s">
        <v>960</v>
      </c>
      <c r="D501" s="9" t="s">
        <v>961</v>
      </c>
      <c r="E501" s="9">
        <v>34.5</v>
      </c>
      <c r="F501" s="21">
        <v>40</v>
      </c>
      <c r="G501" s="16" t="s">
        <v>958</v>
      </c>
      <c r="H501" s="16">
        <v>20</v>
      </c>
      <c r="I501" s="16" t="s">
        <v>963</v>
      </c>
      <c r="J501" s="16"/>
      <c r="K501" s="16" t="s">
        <v>89</v>
      </c>
      <c r="L501" s="16" t="s">
        <v>90</v>
      </c>
      <c r="M501" s="64" t="s">
        <v>1213</v>
      </c>
    </row>
    <row r="502" spans="1:13" x14ac:dyDescent="0.25">
      <c r="A502" s="9" t="s">
        <v>953</v>
      </c>
      <c r="B502" s="9" t="s">
        <v>154</v>
      </c>
      <c r="C502" s="10" t="s">
        <v>460</v>
      </c>
      <c r="D502" s="9" t="s">
        <v>964</v>
      </c>
      <c r="E502" s="9">
        <v>23.9</v>
      </c>
      <c r="F502" s="21">
        <v>5</v>
      </c>
      <c r="G502" s="16" t="s">
        <v>958</v>
      </c>
      <c r="H502" s="16">
        <v>13</v>
      </c>
      <c r="I502" s="16" t="s">
        <v>965</v>
      </c>
      <c r="J502" s="16"/>
      <c r="K502" s="16" t="s">
        <v>89</v>
      </c>
      <c r="L502" s="16" t="s">
        <v>90</v>
      </c>
      <c r="M502" s="64" t="s">
        <v>1213</v>
      </c>
    </row>
    <row r="503" spans="1:13" x14ac:dyDescent="0.25">
      <c r="A503" s="9" t="s">
        <v>953</v>
      </c>
      <c r="B503" s="9" t="s">
        <v>154</v>
      </c>
      <c r="C503" s="10" t="s">
        <v>460</v>
      </c>
      <c r="D503" s="9" t="s">
        <v>964</v>
      </c>
      <c r="E503" s="9">
        <v>23.9</v>
      </c>
      <c r="F503" s="21">
        <v>5</v>
      </c>
      <c r="G503" s="16" t="s">
        <v>966</v>
      </c>
      <c r="H503" s="16">
        <v>13</v>
      </c>
      <c r="I503" s="16" t="s">
        <v>967</v>
      </c>
      <c r="J503" s="16"/>
      <c r="K503" s="16" t="s">
        <v>89</v>
      </c>
      <c r="L503" s="16" t="s">
        <v>90</v>
      </c>
      <c r="M503" s="64" t="s">
        <v>1213</v>
      </c>
    </row>
    <row r="504" spans="1:13" x14ac:dyDescent="0.25">
      <c r="A504" s="9" t="s">
        <v>953</v>
      </c>
      <c r="B504" s="9" t="s">
        <v>154</v>
      </c>
      <c r="C504" s="10" t="s">
        <v>968</v>
      </c>
      <c r="D504" s="9" t="s">
        <v>969</v>
      </c>
      <c r="E504" s="9">
        <v>34.5</v>
      </c>
      <c r="F504" s="21">
        <v>30</v>
      </c>
      <c r="G504" s="16" t="s">
        <v>956</v>
      </c>
      <c r="H504" s="16">
        <v>10</v>
      </c>
      <c r="I504" s="16"/>
      <c r="J504" s="16"/>
      <c r="K504" s="16" t="s">
        <v>89</v>
      </c>
      <c r="L504" s="16" t="s">
        <v>90</v>
      </c>
      <c r="M504" s="64" t="s">
        <v>1213</v>
      </c>
    </row>
    <row r="505" spans="1:13" x14ac:dyDescent="0.25">
      <c r="A505" s="9" t="s">
        <v>953</v>
      </c>
      <c r="B505" s="9" t="s">
        <v>154</v>
      </c>
      <c r="C505" s="10" t="s">
        <v>968</v>
      </c>
      <c r="D505" s="9" t="s">
        <v>969</v>
      </c>
      <c r="E505" s="9">
        <v>34.5</v>
      </c>
      <c r="F505" s="21">
        <v>30</v>
      </c>
      <c r="G505" s="16" t="s">
        <v>958</v>
      </c>
      <c r="H505" s="16">
        <v>10</v>
      </c>
      <c r="I505" s="16"/>
      <c r="J505" s="16"/>
      <c r="K505" s="16" t="s">
        <v>89</v>
      </c>
      <c r="L505" s="16" t="s">
        <v>90</v>
      </c>
      <c r="M505" s="64" t="s">
        <v>1213</v>
      </c>
    </row>
    <row r="506" spans="1:13" x14ac:dyDescent="0.25">
      <c r="A506" s="9" t="s">
        <v>953</v>
      </c>
      <c r="B506" s="9" t="s">
        <v>154</v>
      </c>
      <c r="C506" s="10" t="s">
        <v>970</v>
      </c>
      <c r="D506" s="9" t="s">
        <v>971</v>
      </c>
      <c r="E506" s="9">
        <v>34.5</v>
      </c>
      <c r="F506" s="21">
        <v>0</v>
      </c>
      <c r="G506" s="16"/>
      <c r="H506" s="16">
        <v>0</v>
      </c>
      <c r="I506" s="16" t="s">
        <v>972</v>
      </c>
      <c r="J506" s="16"/>
      <c r="K506" s="16" t="s">
        <v>746</v>
      </c>
      <c r="L506" s="16"/>
      <c r="M506" s="64" t="s">
        <v>1213</v>
      </c>
    </row>
    <row r="507" spans="1:13" x14ac:dyDescent="0.25">
      <c r="A507" s="9" t="s">
        <v>953</v>
      </c>
      <c r="B507" s="9" t="s">
        <v>154</v>
      </c>
      <c r="C507" s="10" t="s">
        <v>973</v>
      </c>
      <c r="D507" s="9" t="s">
        <v>974</v>
      </c>
      <c r="E507" s="9">
        <v>34.5</v>
      </c>
      <c r="F507" s="21">
        <v>5</v>
      </c>
      <c r="G507" s="16" t="s">
        <v>956</v>
      </c>
      <c r="H507" s="16">
        <v>2.5</v>
      </c>
      <c r="I507" s="16" t="s">
        <v>975</v>
      </c>
      <c r="J507" s="16"/>
      <c r="K507" s="16" t="s">
        <v>89</v>
      </c>
      <c r="L507" s="16" t="s">
        <v>90</v>
      </c>
      <c r="M507" s="64" t="s">
        <v>1213</v>
      </c>
    </row>
    <row r="508" spans="1:13" x14ac:dyDescent="0.25">
      <c r="A508" s="9" t="s">
        <v>953</v>
      </c>
      <c r="B508" s="9" t="s">
        <v>154</v>
      </c>
      <c r="C508" s="10" t="s">
        <v>976</v>
      </c>
      <c r="D508" s="9" t="s">
        <v>977</v>
      </c>
      <c r="E508" s="9">
        <v>23.9</v>
      </c>
      <c r="F508" s="21">
        <v>13</v>
      </c>
      <c r="G508" s="16"/>
      <c r="H508" s="16">
        <v>0</v>
      </c>
      <c r="I508" s="16" t="s">
        <v>972</v>
      </c>
      <c r="J508" s="16"/>
      <c r="K508" s="16" t="s">
        <v>746</v>
      </c>
      <c r="L508" s="16"/>
      <c r="M508" s="64" t="s">
        <v>1213</v>
      </c>
    </row>
    <row r="509" spans="1:13" x14ac:dyDescent="0.25">
      <c r="A509" s="9" t="s">
        <v>953</v>
      </c>
      <c r="B509" s="9" t="s">
        <v>154</v>
      </c>
      <c r="C509" s="10" t="s">
        <v>978</v>
      </c>
      <c r="D509" s="9" t="s">
        <v>979</v>
      </c>
      <c r="E509" s="9">
        <v>23.9</v>
      </c>
      <c r="F509" s="21">
        <v>18</v>
      </c>
      <c r="G509" s="16" t="s">
        <v>956</v>
      </c>
      <c r="H509" s="16">
        <v>29</v>
      </c>
      <c r="I509" s="16" t="s">
        <v>980</v>
      </c>
      <c r="J509" s="16"/>
      <c r="K509" s="16" t="s">
        <v>109</v>
      </c>
      <c r="L509" s="16" t="s">
        <v>90</v>
      </c>
      <c r="M509" s="64" t="s">
        <v>1213</v>
      </c>
    </row>
    <row r="510" spans="1:13" x14ac:dyDescent="0.25">
      <c r="A510" s="9" t="s">
        <v>953</v>
      </c>
      <c r="B510" s="9" t="s">
        <v>154</v>
      </c>
      <c r="C510" s="10" t="s">
        <v>981</v>
      </c>
      <c r="D510" s="9" t="s">
        <v>982</v>
      </c>
      <c r="E510" s="9">
        <v>34.5</v>
      </c>
      <c r="F510" s="21">
        <v>5</v>
      </c>
      <c r="G510" s="16" t="s">
        <v>956</v>
      </c>
      <c r="H510" s="16">
        <v>5</v>
      </c>
      <c r="I510" s="16" t="s">
        <v>983</v>
      </c>
      <c r="J510" s="16"/>
      <c r="K510" s="16" t="s">
        <v>89</v>
      </c>
      <c r="L510" s="16" t="s">
        <v>90</v>
      </c>
      <c r="M510" s="64" t="s">
        <v>1213</v>
      </c>
    </row>
    <row r="511" spans="1:13" x14ac:dyDescent="0.25">
      <c r="A511" s="9" t="s">
        <v>953</v>
      </c>
      <c r="B511" s="9" t="s">
        <v>154</v>
      </c>
      <c r="C511" s="10" t="s">
        <v>984</v>
      </c>
      <c r="D511" s="9" t="s">
        <v>985</v>
      </c>
      <c r="E511" s="9">
        <v>34.5</v>
      </c>
      <c r="F511" s="21">
        <v>5</v>
      </c>
      <c r="G511" s="16" t="s">
        <v>956</v>
      </c>
      <c r="H511" s="16">
        <v>5</v>
      </c>
      <c r="I511" s="16"/>
      <c r="J511" s="16"/>
      <c r="K511" s="16" t="s">
        <v>89</v>
      </c>
      <c r="L511" s="16" t="s">
        <v>90</v>
      </c>
      <c r="M511" s="64" t="s">
        <v>1213</v>
      </c>
    </row>
    <row r="512" spans="1:13" x14ac:dyDescent="0.25">
      <c r="A512" s="9" t="s">
        <v>953</v>
      </c>
      <c r="B512" s="9" t="s">
        <v>154</v>
      </c>
      <c r="C512" s="10" t="s">
        <v>986</v>
      </c>
      <c r="D512" s="9" t="s">
        <v>987</v>
      </c>
      <c r="E512" s="9">
        <v>34.5</v>
      </c>
      <c r="F512" s="21">
        <v>17.5</v>
      </c>
      <c r="G512" s="16" t="s">
        <v>958</v>
      </c>
      <c r="H512" s="16">
        <v>10</v>
      </c>
      <c r="I512" s="16" t="s">
        <v>988</v>
      </c>
      <c r="J512" s="16"/>
      <c r="K512" s="16" t="s">
        <v>89</v>
      </c>
      <c r="L512" s="16" t="s">
        <v>90</v>
      </c>
      <c r="M512" s="64" t="s">
        <v>1213</v>
      </c>
    </row>
    <row r="513" spans="1:14" x14ac:dyDescent="0.25">
      <c r="A513" s="9" t="s">
        <v>953</v>
      </c>
      <c r="B513" s="9" t="s">
        <v>154</v>
      </c>
      <c r="C513" s="10" t="s">
        <v>986</v>
      </c>
      <c r="D513" s="9" t="s">
        <v>987</v>
      </c>
      <c r="E513" s="9">
        <v>34.5</v>
      </c>
      <c r="F513" s="21">
        <v>17.5</v>
      </c>
      <c r="G513" s="16" t="s">
        <v>956</v>
      </c>
      <c r="H513" s="16">
        <v>7.5</v>
      </c>
      <c r="I513" s="16" t="s">
        <v>989</v>
      </c>
      <c r="J513" s="16"/>
      <c r="K513" s="16" t="s">
        <v>89</v>
      </c>
      <c r="L513" s="16" t="s">
        <v>90</v>
      </c>
      <c r="M513" s="64" t="s">
        <v>1213</v>
      </c>
    </row>
    <row r="514" spans="1:14" x14ac:dyDescent="0.25">
      <c r="A514" s="9" t="s">
        <v>953</v>
      </c>
      <c r="B514" s="9" t="s">
        <v>154</v>
      </c>
      <c r="C514" s="10" t="s">
        <v>701</v>
      </c>
      <c r="D514" s="9" t="s">
        <v>990</v>
      </c>
      <c r="E514" s="9">
        <v>34.5</v>
      </c>
      <c r="F514" s="21">
        <v>0</v>
      </c>
      <c r="G514" s="16" t="s">
        <v>958</v>
      </c>
      <c r="H514" s="16">
        <v>10</v>
      </c>
      <c r="I514" s="16" t="s">
        <v>991</v>
      </c>
      <c r="J514" s="16"/>
      <c r="K514" s="16" t="s">
        <v>109</v>
      </c>
      <c r="L514" s="16" t="s">
        <v>90</v>
      </c>
      <c r="M514" s="64" t="s">
        <v>1213</v>
      </c>
    </row>
    <row r="515" spans="1:14" x14ac:dyDescent="0.25">
      <c r="A515" s="9" t="s">
        <v>953</v>
      </c>
      <c r="B515" s="9" t="s">
        <v>154</v>
      </c>
      <c r="C515" s="10" t="s">
        <v>701</v>
      </c>
      <c r="D515" s="9" t="s">
        <v>990</v>
      </c>
      <c r="E515" s="9">
        <v>34.5</v>
      </c>
      <c r="F515" s="21">
        <v>0</v>
      </c>
      <c r="G515" s="16" t="s">
        <v>956</v>
      </c>
      <c r="H515" s="16">
        <v>6</v>
      </c>
      <c r="I515" s="16" t="s">
        <v>991</v>
      </c>
      <c r="J515" s="16"/>
      <c r="K515" s="16" t="s">
        <v>109</v>
      </c>
      <c r="L515" s="16" t="s">
        <v>90</v>
      </c>
      <c r="M515" s="64" t="s">
        <v>1213</v>
      </c>
    </row>
    <row r="516" spans="1:14" x14ac:dyDescent="0.25">
      <c r="A516" s="9" t="s">
        <v>953</v>
      </c>
      <c r="B516" s="9" t="s">
        <v>154</v>
      </c>
      <c r="C516" s="10" t="s">
        <v>992</v>
      </c>
      <c r="D516" s="9" t="s">
        <v>993</v>
      </c>
      <c r="E516" s="9">
        <v>23.9</v>
      </c>
      <c r="F516" s="21">
        <v>0</v>
      </c>
      <c r="G516" s="16"/>
      <c r="H516" s="16">
        <v>0</v>
      </c>
      <c r="I516" s="16" t="s">
        <v>972</v>
      </c>
      <c r="J516" s="16"/>
      <c r="K516" s="16" t="s">
        <v>746</v>
      </c>
      <c r="L516" s="16"/>
      <c r="M516" s="64" t="s">
        <v>1213</v>
      </c>
    </row>
    <row r="517" spans="1:14" x14ac:dyDescent="0.25">
      <c r="A517" s="9" t="s">
        <v>953</v>
      </c>
      <c r="B517" s="9" t="s">
        <v>154</v>
      </c>
      <c r="C517" s="10" t="s">
        <v>994</v>
      </c>
      <c r="D517" s="9" t="s">
        <v>995</v>
      </c>
      <c r="E517" s="9">
        <v>34.5</v>
      </c>
      <c r="F517" s="21">
        <v>15</v>
      </c>
      <c r="G517" s="16" t="s">
        <v>956</v>
      </c>
      <c r="H517" s="16">
        <v>10</v>
      </c>
      <c r="I517" s="16" t="s">
        <v>996</v>
      </c>
      <c r="J517" s="16"/>
      <c r="K517" s="16" t="s">
        <v>89</v>
      </c>
      <c r="L517" s="16" t="s">
        <v>90</v>
      </c>
      <c r="M517" s="64" t="s">
        <v>1213</v>
      </c>
    </row>
    <row r="518" spans="1:14" x14ac:dyDescent="0.25">
      <c r="A518" s="9" t="s">
        <v>953</v>
      </c>
      <c r="B518" s="9" t="s">
        <v>154</v>
      </c>
      <c r="C518" s="10" t="s">
        <v>994</v>
      </c>
      <c r="D518" s="9" t="s">
        <v>995</v>
      </c>
      <c r="E518" s="9">
        <v>34.5</v>
      </c>
      <c r="F518" s="21">
        <v>15</v>
      </c>
      <c r="G518" s="16" t="s">
        <v>958</v>
      </c>
      <c r="H518" s="16">
        <v>5</v>
      </c>
      <c r="I518" s="16" t="s">
        <v>997</v>
      </c>
      <c r="J518" s="16"/>
      <c r="K518" s="16" t="s">
        <v>89</v>
      </c>
      <c r="L518" s="16" t="s">
        <v>90</v>
      </c>
      <c r="M518" s="64" t="s">
        <v>1213</v>
      </c>
    </row>
    <row r="519" spans="1:14" x14ac:dyDescent="0.25">
      <c r="A519" s="9" t="s">
        <v>953</v>
      </c>
      <c r="B519" s="9" t="s">
        <v>154</v>
      </c>
      <c r="C519" s="10" t="s">
        <v>998</v>
      </c>
      <c r="D519" s="9" t="s">
        <v>999</v>
      </c>
      <c r="E519" s="9">
        <v>23.9</v>
      </c>
      <c r="F519" s="21">
        <v>0</v>
      </c>
      <c r="G519" s="16"/>
      <c r="H519" s="16">
        <v>0</v>
      </c>
      <c r="I519" s="16" t="s">
        <v>972</v>
      </c>
      <c r="J519" s="16"/>
      <c r="K519" s="16" t="s">
        <v>746</v>
      </c>
      <c r="L519" s="16"/>
      <c r="M519" s="64" t="s">
        <v>1213</v>
      </c>
      <c r="N519" s="17" t="s">
        <v>746</v>
      </c>
    </row>
    <row r="520" spans="1:14" x14ac:dyDescent="0.25">
      <c r="A520" s="9" t="s">
        <v>953</v>
      </c>
      <c r="B520" s="9" t="s">
        <v>154</v>
      </c>
      <c r="C520" s="10" t="s">
        <v>1000</v>
      </c>
      <c r="D520" s="9" t="s">
        <v>1001</v>
      </c>
      <c r="E520" s="9">
        <v>34.5</v>
      </c>
      <c r="F520" s="21">
        <v>30</v>
      </c>
      <c r="G520" s="16" t="s">
        <v>956</v>
      </c>
      <c r="H520" s="16">
        <v>20</v>
      </c>
      <c r="I520" s="16"/>
      <c r="J520" s="16"/>
      <c r="K520" s="16" t="s">
        <v>89</v>
      </c>
      <c r="L520" s="16" t="s">
        <v>90</v>
      </c>
      <c r="M520" s="64" t="s">
        <v>1213</v>
      </c>
    </row>
    <row r="521" spans="1:14" x14ac:dyDescent="0.25">
      <c r="A521" s="9" t="s">
        <v>953</v>
      </c>
      <c r="B521" s="9" t="s">
        <v>154</v>
      </c>
      <c r="C521" s="10" t="s">
        <v>1000</v>
      </c>
      <c r="D521" s="9" t="s">
        <v>1001</v>
      </c>
      <c r="E521" s="9">
        <v>34.5</v>
      </c>
      <c r="F521" s="21">
        <v>30</v>
      </c>
      <c r="G521" s="16" t="s">
        <v>958</v>
      </c>
      <c r="H521" s="16">
        <v>20</v>
      </c>
      <c r="I521" s="16"/>
      <c r="J521" s="16"/>
      <c r="K521" s="16" t="s">
        <v>89</v>
      </c>
      <c r="L521" s="16" t="s">
        <v>90</v>
      </c>
      <c r="M521" s="64" t="s">
        <v>1213</v>
      </c>
    </row>
    <row r="522" spans="1:14" x14ac:dyDescent="0.25">
      <c r="A522" s="9" t="s">
        <v>953</v>
      </c>
      <c r="B522" s="9" t="s">
        <v>154</v>
      </c>
      <c r="C522" s="10" t="s">
        <v>1002</v>
      </c>
      <c r="D522" s="9" t="s">
        <v>1003</v>
      </c>
      <c r="E522" s="9">
        <v>34.5</v>
      </c>
      <c r="F522" s="21">
        <v>15</v>
      </c>
      <c r="G522" s="16" t="s">
        <v>956</v>
      </c>
      <c r="H522" s="16">
        <v>5</v>
      </c>
      <c r="I522" s="16"/>
      <c r="J522" s="16"/>
      <c r="K522" s="16" t="s">
        <v>89</v>
      </c>
      <c r="L522" s="16" t="s">
        <v>90</v>
      </c>
      <c r="M522" s="64" t="s">
        <v>1213</v>
      </c>
    </row>
    <row r="523" spans="1:14" x14ac:dyDescent="0.25">
      <c r="A523" s="9" t="s">
        <v>953</v>
      </c>
      <c r="B523" s="9" t="s">
        <v>154</v>
      </c>
      <c r="C523" s="10" t="s">
        <v>1002</v>
      </c>
      <c r="D523" s="9" t="s">
        <v>1003</v>
      </c>
      <c r="E523" s="9">
        <v>34.5</v>
      </c>
      <c r="F523" s="21">
        <v>15</v>
      </c>
      <c r="G523" s="16" t="s">
        <v>958</v>
      </c>
      <c r="H523" s="16">
        <v>5</v>
      </c>
      <c r="I523" s="16"/>
      <c r="J523" s="16"/>
      <c r="K523" s="16" t="s">
        <v>89</v>
      </c>
      <c r="L523" s="16" t="s">
        <v>90</v>
      </c>
      <c r="M523" s="64" t="s">
        <v>1213</v>
      </c>
    </row>
    <row r="524" spans="1:14" x14ac:dyDescent="0.25">
      <c r="A524" s="9" t="s">
        <v>953</v>
      </c>
      <c r="B524" s="9" t="s">
        <v>154</v>
      </c>
      <c r="C524" s="10" t="s">
        <v>1004</v>
      </c>
      <c r="D524" s="9" t="s">
        <v>1005</v>
      </c>
      <c r="E524" s="9">
        <v>34.5</v>
      </c>
      <c r="F524" s="21">
        <v>20</v>
      </c>
      <c r="G524" s="16" t="s">
        <v>956</v>
      </c>
      <c r="H524" s="16">
        <v>10</v>
      </c>
      <c r="I524" s="16" t="s">
        <v>1006</v>
      </c>
      <c r="J524" s="16"/>
      <c r="K524" s="16" t="s">
        <v>89</v>
      </c>
      <c r="L524" s="16" t="s">
        <v>90</v>
      </c>
      <c r="M524" s="64" t="s">
        <v>1213</v>
      </c>
    </row>
    <row r="525" spans="1:14" x14ac:dyDescent="0.25">
      <c r="A525" s="9" t="s">
        <v>953</v>
      </c>
      <c r="B525" s="9" t="s">
        <v>154</v>
      </c>
      <c r="C525" s="10" t="s">
        <v>1004</v>
      </c>
      <c r="D525" s="9" t="s">
        <v>1005</v>
      </c>
      <c r="E525" s="9">
        <v>34.5</v>
      </c>
      <c r="F525" s="21">
        <v>20</v>
      </c>
      <c r="G525" s="16" t="s">
        <v>958</v>
      </c>
      <c r="H525" s="16">
        <v>10</v>
      </c>
      <c r="I525" s="16" t="s">
        <v>1006</v>
      </c>
      <c r="J525" s="16"/>
      <c r="K525" s="16" t="s">
        <v>89</v>
      </c>
      <c r="L525" s="16" t="s">
        <v>90</v>
      </c>
      <c r="M525" s="64" t="s">
        <v>1213</v>
      </c>
    </row>
    <row r="526" spans="1:14" x14ac:dyDescent="0.25">
      <c r="A526" s="9" t="s">
        <v>953</v>
      </c>
      <c r="B526" s="9" t="s">
        <v>154</v>
      </c>
      <c r="C526" s="10" t="s">
        <v>1007</v>
      </c>
      <c r="D526" s="9" t="s">
        <v>1008</v>
      </c>
      <c r="E526" s="9">
        <v>34.5</v>
      </c>
      <c r="F526" s="21">
        <v>20</v>
      </c>
      <c r="G526" s="16" t="s">
        <v>956</v>
      </c>
      <c r="H526" s="16">
        <v>10</v>
      </c>
      <c r="I526" s="16"/>
      <c r="J526" s="16"/>
      <c r="K526" s="16" t="s">
        <v>109</v>
      </c>
      <c r="L526" s="16" t="s">
        <v>90</v>
      </c>
      <c r="M526" s="64" t="s">
        <v>1213</v>
      </c>
    </row>
    <row r="527" spans="1:14" x14ac:dyDescent="0.25">
      <c r="A527" s="9" t="s">
        <v>953</v>
      </c>
      <c r="B527" s="9" t="s">
        <v>154</v>
      </c>
      <c r="C527" s="10" t="s">
        <v>1007</v>
      </c>
      <c r="D527" s="9" t="s">
        <v>1008</v>
      </c>
      <c r="E527" s="9">
        <v>34.5</v>
      </c>
      <c r="F527" s="21">
        <v>20</v>
      </c>
      <c r="G527" s="16" t="s">
        <v>958</v>
      </c>
      <c r="H527" s="16">
        <v>10</v>
      </c>
      <c r="I527" s="16"/>
      <c r="J527" s="16"/>
      <c r="K527" s="16" t="s">
        <v>109</v>
      </c>
      <c r="L527" s="16" t="s">
        <v>90</v>
      </c>
      <c r="M527" s="64" t="s">
        <v>1213</v>
      </c>
    </row>
    <row r="528" spans="1:14" x14ac:dyDescent="0.25">
      <c r="A528" s="9" t="s">
        <v>953</v>
      </c>
      <c r="B528" s="9" t="s">
        <v>154</v>
      </c>
      <c r="C528" s="10" t="s">
        <v>1009</v>
      </c>
      <c r="D528" s="9" t="s">
        <v>1010</v>
      </c>
      <c r="E528" s="9">
        <v>23.9</v>
      </c>
      <c r="F528" s="21">
        <v>6</v>
      </c>
      <c r="G528" s="16" t="s">
        <v>956</v>
      </c>
      <c r="H528" s="16">
        <v>13.3</v>
      </c>
      <c r="I528" s="16" t="s">
        <v>1011</v>
      </c>
      <c r="J528" s="16"/>
      <c r="K528" s="16" t="s">
        <v>89</v>
      </c>
      <c r="L528" s="16" t="s">
        <v>90</v>
      </c>
      <c r="M528" s="64" t="s">
        <v>1213</v>
      </c>
    </row>
    <row r="529" spans="1:13" x14ac:dyDescent="0.25">
      <c r="A529" s="9" t="s">
        <v>953</v>
      </c>
      <c r="B529" s="9" t="s">
        <v>154</v>
      </c>
      <c r="C529" s="10" t="s">
        <v>1009</v>
      </c>
      <c r="D529" s="9" t="s">
        <v>1010</v>
      </c>
      <c r="E529" s="9">
        <v>23.9</v>
      </c>
      <c r="F529" s="21"/>
      <c r="G529" s="16" t="s">
        <v>958</v>
      </c>
      <c r="H529" s="16">
        <v>13.3</v>
      </c>
      <c r="I529" s="16" t="s">
        <v>1012</v>
      </c>
      <c r="J529" s="16"/>
      <c r="K529" s="16" t="s">
        <v>89</v>
      </c>
      <c r="L529" s="16" t="s">
        <v>90</v>
      </c>
      <c r="M529" s="64" t="s">
        <v>1213</v>
      </c>
    </row>
    <row r="530" spans="1:13" x14ac:dyDescent="0.25">
      <c r="A530" s="9" t="s">
        <v>953</v>
      </c>
      <c r="B530" s="9" t="s">
        <v>154</v>
      </c>
      <c r="C530" s="10" t="s">
        <v>1013</v>
      </c>
      <c r="D530" s="9" t="s">
        <v>1014</v>
      </c>
      <c r="E530" s="9">
        <v>23.9</v>
      </c>
      <c r="F530" s="21">
        <v>5</v>
      </c>
      <c r="G530" s="16" t="s">
        <v>956</v>
      </c>
      <c r="H530" s="16">
        <v>1.7</v>
      </c>
      <c r="I530" s="16"/>
      <c r="J530" s="16"/>
      <c r="K530" s="16" t="s">
        <v>89</v>
      </c>
      <c r="L530" s="16" t="s">
        <v>93</v>
      </c>
      <c r="M530" s="64" t="s">
        <v>1213</v>
      </c>
    </row>
    <row r="531" spans="1:13" x14ac:dyDescent="0.25">
      <c r="A531" s="9" t="s">
        <v>634</v>
      </c>
      <c r="B531" s="9" t="s">
        <v>140</v>
      </c>
      <c r="C531" s="10" t="s">
        <v>1060</v>
      </c>
      <c r="D531" s="9" t="s">
        <v>1061</v>
      </c>
      <c r="E531" s="9">
        <v>34.5</v>
      </c>
      <c r="F531" s="21">
        <v>10</v>
      </c>
      <c r="G531" s="16" t="s">
        <v>1062</v>
      </c>
      <c r="H531" s="16">
        <v>10</v>
      </c>
      <c r="I531" s="16" t="s">
        <v>1063</v>
      </c>
      <c r="J531" s="16" t="s">
        <v>88</v>
      </c>
      <c r="K531" s="16" t="s">
        <v>89</v>
      </c>
      <c r="L531" s="16" t="s">
        <v>90</v>
      </c>
      <c r="M531" s="64" t="s">
        <v>1213</v>
      </c>
    </row>
    <row r="532" spans="1:13" x14ac:dyDescent="0.25">
      <c r="A532" s="9" t="s">
        <v>634</v>
      </c>
      <c r="B532" s="9" t="s">
        <v>140</v>
      </c>
      <c r="C532" s="10" t="s">
        <v>1064</v>
      </c>
      <c r="D532" s="9" t="s">
        <v>1065</v>
      </c>
      <c r="E532" s="9">
        <v>34.5</v>
      </c>
      <c r="F532" s="21">
        <v>10</v>
      </c>
      <c r="G532" s="16" t="s">
        <v>1062</v>
      </c>
      <c r="H532" s="16">
        <v>5</v>
      </c>
      <c r="I532" s="16" t="s">
        <v>1066</v>
      </c>
      <c r="J532" s="16" t="s">
        <v>88</v>
      </c>
      <c r="K532" s="16" t="s">
        <v>89</v>
      </c>
      <c r="L532" s="16" t="s">
        <v>90</v>
      </c>
      <c r="M532" s="64" t="s">
        <v>1213</v>
      </c>
    </row>
    <row r="533" spans="1:13" x14ac:dyDescent="0.25">
      <c r="A533" s="9" t="s">
        <v>634</v>
      </c>
      <c r="B533" s="9" t="s">
        <v>140</v>
      </c>
      <c r="C533" s="10" t="s">
        <v>1064</v>
      </c>
      <c r="D533" s="9" t="s">
        <v>1065</v>
      </c>
      <c r="E533" s="9">
        <v>34.5</v>
      </c>
      <c r="F533" s="21">
        <v>10</v>
      </c>
      <c r="G533" s="16" t="s">
        <v>1062</v>
      </c>
      <c r="H533" s="16">
        <v>5</v>
      </c>
      <c r="I533" s="16" t="s">
        <v>1067</v>
      </c>
      <c r="J533" s="16" t="s">
        <v>88</v>
      </c>
      <c r="K533" s="16" t="s">
        <v>89</v>
      </c>
      <c r="L533" s="16" t="s">
        <v>90</v>
      </c>
      <c r="M533" s="64" t="s">
        <v>1213</v>
      </c>
    </row>
    <row r="534" spans="1:13" x14ac:dyDescent="0.25">
      <c r="A534" s="9" t="s">
        <v>634</v>
      </c>
      <c r="B534" s="9" t="s">
        <v>140</v>
      </c>
      <c r="C534" s="10" t="s">
        <v>232</v>
      </c>
      <c r="D534" s="9" t="s">
        <v>1068</v>
      </c>
      <c r="E534" s="9">
        <v>34.5</v>
      </c>
      <c r="F534" s="21">
        <v>10</v>
      </c>
      <c r="G534" s="16" t="s">
        <v>1062</v>
      </c>
      <c r="H534" s="16">
        <v>10</v>
      </c>
      <c r="I534" s="16" t="s">
        <v>1069</v>
      </c>
      <c r="J534" s="16" t="s">
        <v>88</v>
      </c>
      <c r="K534" s="16" t="s">
        <v>89</v>
      </c>
      <c r="L534" s="16" t="s">
        <v>90</v>
      </c>
      <c r="M534" s="64" t="s">
        <v>1213</v>
      </c>
    </row>
    <row r="535" spans="1:13" x14ac:dyDescent="0.25">
      <c r="A535" s="9" t="s">
        <v>634</v>
      </c>
      <c r="B535" s="9" t="s">
        <v>140</v>
      </c>
      <c r="C535" s="10" t="s">
        <v>1070</v>
      </c>
      <c r="D535" s="9" t="s">
        <v>1071</v>
      </c>
      <c r="E535" s="9">
        <v>34.5</v>
      </c>
      <c r="F535" s="21">
        <v>20</v>
      </c>
      <c r="G535" s="16" t="s">
        <v>1062</v>
      </c>
      <c r="H535" s="16">
        <v>20</v>
      </c>
      <c r="I535" s="16" t="s">
        <v>1072</v>
      </c>
      <c r="J535" s="16" t="s">
        <v>88</v>
      </c>
      <c r="K535" s="16" t="s">
        <v>89</v>
      </c>
      <c r="L535" s="16" t="s">
        <v>90</v>
      </c>
      <c r="M535" s="64" t="s">
        <v>1213</v>
      </c>
    </row>
    <row r="536" spans="1:13" x14ac:dyDescent="0.25">
      <c r="A536" s="9" t="s">
        <v>634</v>
      </c>
      <c r="B536" s="9" t="s">
        <v>140</v>
      </c>
      <c r="C536" s="10" t="s">
        <v>1073</v>
      </c>
      <c r="D536" s="9" t="s">
        <v>1074</v>
      </c>
      <c r="E536" s="9">
        <v>34.5</v>
      </c>
      <c r="F536" s="21">
        <v>10</v>
      </c>
      <c r="G536" s="16" t="s">
        <v>1062</v>
      </c>
      <c r="H536" s="16">
        <v>10</v>
      </c>
      <c r="I536" s="16" t="s">
        <v>1075</v>
      </c>
      <c r="J536" s="16" t="s">
        <v>114</v>
      </c>
      <c r="K536" s="16" t="s">
        <v>89</v>
      </c>
      <c r="L536" s="16" t="s">
        <v>90</v>
      </c>
      <c r="M536" s="64" t="s">
        <v>1213</v>
      </c>
    </row>
    <row r="537" spans="1:13" x14ac:dyDescent="0.25">
      <c r="A537" s="9" t="s">
        <v>634</v>
      </c>
      <c r="B537" s="9" t="s">
        <v>140</v>
      </c>
      <c r="C537" s="10" t="s">
        <v>1076</v>
      </c>
      <c r="D537" s="9" t="s">
        <v>1077</v>
      </c>
      <c r="E537" s="9">
        <v>34.5</v>
      </c>
      <c r="F537" s="21">
        <v>10</v>
      </c>
      <c r="G537" s="16" t="s">
        <v>1062</v>
      </c>
      <c r="H537" s="16">
        <v>10</v>
      </c>
      <c r="I537" s="16" t="s">
        <v>1075</v>
      </c>
      <c r="J537" s="16" t="s">
        <v>88</v>
      </c>
      <c r="K537" s="16" t="s">
        <v>89</v>
      </c>
      <c r="L537" s="16" t="s">
        <v>93</v>
      </c>
      <c r="M537" s="64" t="s">
        <v>1213</v>
      </c>
    </row>
    <row r="538" spans="1:13" x14ac:dyDescent="0.25">
      <c r="A538" s="9" t="s">
        <v>634</v>
      </c>
      <c r="B538" s="9" t="s">
        <v>140</v>
      </c>
      <c r="C538" s="10" t="s">
        <v>1078</v>
      </c>
      <c r="D538" s="9" t="s">
        <v>1079</v>
      </c>
      <c r="E538" s="9">
        <v>34.5</v>
      </c>
      <c r="F538" s="21">
        <v>10</v>
      </c>
      <c r="G538" s="16" t="s">
        <v>1062</v>
      </c>
      <c r="H538" s="16">
        <v>10</v>
      </c>
      <c r="I538" s="16" t="s">
        <v>1080</v>
      </c>
      <c r="J538" s="16" t="s">
        <v>88</v>
      </c>
      <c r="K538" s="16" t="s">
        <v>89</v>
      </c>
      <c r="L538" s="16" t="s">
        <v>90</v>
      </c>
      <c r="M538" s="64" t="s">
        <v>1213</v>
      </c>
    </row>
    <row r="539" spans="1:13" x14ac:dyDescent="0.25">
      <c r="A539" s="9" t="s">
        <v>634</v>
      </c>
      <c r="B539" s="9" t="s">
        <v>140</v>
      </c>
      <c r="C539" s="10" t="s">
        <v>1081</v>
      </c>
      <c r="D539" s="9" t="s">
        <v>1082</v>
      </c>
      <c r="E539" s="9">
        <v>34.5</v>
      </c>
      <c r="F539" s="21">
        <v>10</v>
      </c>
      <c r="G539" s="16" t="s">
        <v>1062</v>
      </c>
      <c r="H539" s="16">
        <v>10</v>
      </c>
      <c r="I539" s="16" t="s">
        <v>1083</v>
      </c>
      <c r="J539" s="16" t="s">
        <v>88</v>
      </c>
      <c r="K539" s="16" t="s">
        <v>89</v>
      </c>
      <c r="L539" s="16" t="s">
        <v>90</v>
      </c>
      <c r="M539" s="64" t="s">
        <v>1213</v>
      </c>
    </row>
    <row r="540" spans="1:13" x14ac:dyDescent="0.25">
      <c r="A540" s="9" t="s">
        <v>634</v>
      </c>
      <c r="B540" s="9" t="s">
        <v>140</v>
      </c>
      <c r="C540" s="10" t="s">
        <v>1081</v>
      </c>
      <c r="D540" s="9" t="s">
        <v>1082</v>
      </c>
      <c r="E540" s="9">
        <v>34.5</v>
      </c>
      <c r="F540" s="21">
        <v>5</v>
      </c>
      <c r="G540" s="16" t="s">
        <v>1062</v>
      </c>
      <c r="H540" s="16">
        <v>5</v>
      </c>
      <c r="I540" s="16" t="s">
        <v>1084</v>
      </c>
      <c r="J540" s="16" t="s">
        <v>88</v>
      </c>
      <c r="K540" s="16" t="s">
        <v>109</v>
      </c>
      <c r="L540" s="16" t="s">
        <v>90</v>
      </c>
      <c r="M540" s="64" t="s">
        <v>1213</v>
      </c>
    </row>
    <row r="541" spans="1:13" x14ac:dyDescent="0.25">
      <c r="A541" s="9" t="s">
        <v>634</v>
      </c>
      <c r="B541" s="9" t="s">
        <v>140</v>
      </c>
      <c r="C541" s="10" t="s">
        <v>1085</v>
      </c>
      <c r="D541" s="9" t="s">
        <v>1086</v>
      </c>
      <c r="E541" s="9">
        <v>34.5</v>
      </c>
      <c r="F541" s="21">
        <v>10</v>
      </c>
      <c r="G541" s="16" t="s">
        <v>1062</v>
      </c>
      <c r="H541" s="16">
        <v>10</v>
      </c>
      <c r="I541" s="16" t="s">
        <v>1087</v>
      </c>
      <c r="J541" s="16" t="s">
        <v>88</v>
      </c>
      <c r="K541" s="16" t="s">
        <v>89</v>
      </c>
      <c r="L541" s="16" t="s">
        <v>90</v>
      </c>
      <c r="M541" s="64" t="s">
        <v>1213</v>
      </c>
    </row>
    <row r="542" spans="1:13" x14ac:dyDescent="0.25">
      <c r="A542" s="9" t="s">
        <v>634</v>
      </c>
      <c r="B542" s="9" t="s">
        <v>140</v>
      </c>
      <c r="C542" s="10" t="s">
        <v>1088</v>
      </c>
      <c r="D542" s="9" t="s">
        <v>1089</v>
      </c>
      <c r="E542" s="9">
        <v>34.5</v>
      </c>
      <c r="F542" s="21">
        <v>15</v>
      </c>
      <c r="G542" s="16" t="s">
        <v>1062</v>
      </c>
      <c r="H542" s="16">
        <v>15</v>
      </c>
      <c r="I542" s="16" t="s">
        <v>1090</v>
      </c>
      <c r="J542" s="16" t="s">
        <v>88</v>
      </c>
      <c r="K542" s="16" t="s">
        <v>89</v>
      </c>
      <c r="L542" s="16" t="s">
        <v>90</v>
      </c>
      <c r="M542" s="64" t="s">
        <v>1213</v>
      </c>
    </row>
    <row r="543" spans="1:13" x14ac:dyDescent="0.25">
      <c r="A543" s="9" t="s">
        <v>634</v>
      </c>
      <c r="B543" s="9" t="s">
        <v>144</v>
      </c>
      <c r="C543" s="10" t="s">
        <v>1091</v>
      </c>
      <c r="D543" s="9" t="s">
        <v>1092</v>
      </c>
      <c r="E543" s="9">
        <v>34.5</v>
      </c>
      <c r="F543" s="21">
        <v>10</v>
      </c>
      <c r="G543" s="16" t="s">
        <v>1093</v>
      </c>
      <c r="H543" s="16">
        <v>10</v>
      </c>
      <c r="I543" s="16" t="s">
        <v>1094</v>
      </c>
      <c r="J543" s="16" t="s">
        <v>88</v>
      </c>
      <c r="K543" s="16" t="s">
        <v>89</v>
      </c>
      <c r="L543" s="16" t="s">
        <v>93</v>
      </c>
      <c r="M543" s="64" t="s">
        <v>1213</v>
      </c>
    </row>
    <row r="544" spans="1:13" x14ac:dyDescent="0.25">
      <c r="A544" s="9" t="s">
        <v>634</v>
      </c>
      <c r="B544" s="9" t="s">
        <v>144</v>
      </c>
      <c r="C544" s="10" t="s">
        <v>1095</v>
      </c>
      <c r="D544" s="9" t="s">
        <v>1096</v>
      </c>
      <c r="E544" s="9">
        <v>34.5</v>
      </c>
      <c r="F544" s="21">
        <v>10</v>
      </c>
      <c r="G544" s="16" t="s">
        <v>1093</v>
      </c>
      <c r="H544" s="16">
        <v>10</v>
      </c>
      <c r="I544" s="16" t="s">
        <v>1094</v>
      </c>
      <c r="J544" s="16" t="s">
        <v>88</v>
      </c>
      <c r="K544" s="16" t="s">
        <v>89</v>
      </c>
      <c r="L544" s="16" t="s">
        <v>93</v>
      </c>
      <c r="M544" s="64" t="s">
        <v>1213</v>
      </c>
    </row>
    <row r="545" spans="1:13" x14ac:dyDescent="0.25">
      <c r="A545" s="9" t="s">
        <v>634</v>
      </c>
      <c r="B545" s="9" t="s">
        <v>144</v>
      </c>
      <c r="C545" s="10" t="s">
        <v>1097</v>
      </c>
      <c r="D545" s="9" t="s">
        <v>1098</v>
      </c>
      <c r="E545" s="9">
        <v>34.5</v>
      </c>
      <c r="F545" s="21">
        <v>5</v>
      </c>
      <c r="G545" s="16" t="s">
        <v>1093</v>
      </c>
      <c r="H545" s="16">
        <v>5</v>
      </c>
      <c r="I545" s="16" t="s">
        <v>1099</v>
      </c>
      <c r="J545" s="16" t="s">
        <v>88</v>
      </c>
      <c r="K545" s="16" t="s">
        <v>89</v>
      </c>
      <c r="L545" s="16" t="s">
        <v>90</v>
      </c>
      <c r="M545" s="64" t="s">
        <v>1213</v>
      </c>
    </row>
    <row r="546" spans="1:13" x14ac:dyDescent="0.25">
      <c r="A546" s="9" t="s">
        <v>634</v>
      </c>
      <c r="B546" s="9" t="s">
        <v>144</v>
      </c>
      <c r="C546" s="10" t="s">
        <v>333</v>
      </c>
      <c r="D546" s="9" t="s">
        <v>1100</v>
      </c>
      <c r="E546" s="9">
        <v>34.5</v>
      </c>
      <c r="F546" s="21">
        <v>10</v>
      </c>
      <c r="G546" s="16" t="s">
        <v>1093</v>
      </c>
      <c r="H546" s="16">
        <v>10</v>
      </c>
      <c r="I546" s="16" t="s">
        <v>1094</v>
      </c>
      <c r="J546" s="16" t="s">
        <v>88</v>
      </c>
      <c r="K546" s="16" t="s">
        <v>89</v>
      </c>
      <c r="L546" s="16" t="s">
        <v>90</v>
      </c>
      <c r="M546" s="64" t="s">
        <v>1213</v>
      </c>
    </row>
    <row r="547" spans="1:13" x14ac:dyDescent="0.25">
      <c r="A547" s="9" t="s">
        <v>634</v>
      </c>
      <c r="B547" s="9" t="s">
        <v>144</v>
      </c>
      <c r="C547" s="10" t="s">
        <v>486</v>
      </c>
      <c r="D547" s="9" t="s">
        <v>1101</v>
      </c>
      <c r="E547" s="9">
        <v>34.5</v>
      </c>
      <c r="F547" s="21">
        <v>10</v>
      </c>
      <c r="G547" s="16" t="s">
        <v>1093</v>
      </c>
      <c r="H547" s="16">
        <v>10</v>
      </c>
      <c r="I547" s="16" t="s">
        <v>1094</v>
      </c>
      <c r="J547" s="16" t="s">
        <v>88</v>
      </c>
      <c r="K547" s="16" t="s">
        <v>89</v>
      </c>
      <c r="L547" s="16" t="s">
        <v>90</v>
      </c>
      <c r="M547" s="64" t="s">
        <v>1213</v>
      </c>
    </row>
    <row r="548" spans="1:13" x14ac:dyDescent="0.25">
      <c r="A548" s="9" t="s">
        <v>634</v>
      </c>
      <c r="B548" s="9" t="s">
        <v>144</v>
      </c>
      <c r="C548" s="10" t="s">
        <v>1102</v>
      </c>
      <c r="D548" s="9" t="s">
        <v>1103</v>
      </c>
      <c r="E548" s="9">
        <v>34.5</v>
      </c>
      <c r="F548" s="21">
        <v>10</v>
      </c>
      <c r="G548" s="16" t="s">
        <v>1093</v>
      </c>
      <c r="H548" s="16">
        <v>10</v>
      </c>
      <c r="I548" s="16" t="s">
        <v>1094</v>
      </c>
      <c r="J548" s="16" t="s">
        <v>88</v>
      </c>
      <c r="K548" s="16" t="s">
        <v>89</v>
      </c>
      <c r="L548" s="16" t="s">
        <v>90</v>
      </c>
      <c r="M548" s="64" t="s">
        <v>1213</v>
      </c>
    </row>
    <row r="549" spans="1:13" x14ac:dyDescent="0.25">
      <c r="A549" s="9" t="s">
        <v>634</v>
      </c>
      <c r="B549" s="9" t="s">
        <v>144</v>
      </c>
      <c r="C549" s="10" t="s">
        <v>1104</v>
      </c>
      <c r="D549" s="9" t="s">
        <v>1105</v>
      </c>
      <c r="E549" s="9">
        <v>34.5</v>
      </c>
      <c r="F549" s="21">
        <v>5</v>
      </c>
      <c r="G549" s="16" t="s">
        <v>1093</v>
      </c>
      <c r="H549" s="16">
        <v>5</v>
      </c>
      <c r="I549" s="16" t="s">
        <v>1106</v>
      </c>
      <c r="J549" s="16" t="s">
        <v>88</v>
      </c>
      <c r="K549" s="16" t="s">
        <v>89</v>
      </c>
      <c r="L549" s="16" t="s">
        <v>90</v>
      </c>
      <c r="M549" s="64" t="s">
        <v>1213</v>
      </c>
    </row>
    <row r="550" spans="1:13" x14ac:dyDescent="0.25">
      <c r="A550" s="9" t="s">
        <v>634</v>
      </c>
      <c r="B550" s="9" t="s">
        <v>144</v>
      </c>
      <c r="C550" s="10" t="s">
        <v>1107</v>
      </c>
      <c r="D550" s="9" t="s">
        <v>1108</v>
      </c>
      <c r="E550" s="9">
        <v>34.5</v>
      </c>
      <c r="F550" s="21">
        <v>5</v>
      </c>
      <c r="G550" s="16" t="s">
        <v>1093</v>
      </c>
      <c r="H550" s="16">
        <v>5</v>
      </c>
      <c r="I550" s="16" t="s">
        <v>1106</v>
      </c>
      <c r="J550" s="16" t="s">
        <v>88</v>
      </c>
      <c r="K550" s="16" t="s">
        <v>89</v>
      </c>
      <c r="L550" s="16" t="s">
        <v>90</v>
      </c>
      <c r="M550" s="64" t="s">
        <v>1213</v>
      </c>
    </row>
    <row r="551" spans="1:13" x14ac:dyDescent="0.25">
      <c r="A551" s="9" t="s">
        <v>634</v>
      </c>
      <c r="B551" s="9" t="s">
        <v>144</v>
      </c>
      <c r="C551" s="10" t="s">
        <v>1109</v>
      </c>
      <c r="D551" s="9" t="s">
        <v>1110</v>
      </c>
      <c r="E551" s="9">
        <v>34.5</v>
      </c>
      <c r="F551" s="21">
        <v>10</v>
      </c>
      <c r="G551" s="16" t="s">
        <v>1093</v>
      </c>
      <c r="H551" s="16">
        <v>10</v>
      </c>
      <c r="I551" s="16" t="s">
        <v>1111</v>
      </c>
      <c r="J551" s="16" t="s">
        <v>88</v>
      </c>
      <c r="K551" s="16" t="s">
        <v>89</v>
      </c>
      <c r="L551" s="16" t="s">
        <v>90</v>
      </c>
      <c r="M551" s="64" t="s">
        <v>1213</v>
      </c>
    </row>
    <row r="552" spans="1:13" x14ac:dyDescent="0.25">
      <c r="A552" s="9" t="s">
        <v>634</v>
      </c>
      <c r="B552" s="9" t="s">
        <v>144</v>
      </c>
      <c r="C552" s="10" t="s">
        <v>1112</v>
      </c>
      <c r="D552" s="9" t="s">
        <v>1113</v>
      </c>
      <c r="E552" s="9">
        <v>34.5</v>
      </c>
      <c r="F552" s="21">
        <v>10</v>
      </c>
      <c r="G552" s="16" t="s">
        <v>1093</v>
      </c>
      <c r="H552" s="16">
        <v>10</v>
      </c>
      <c r="I552" s="16" t="s">
        <v>1094</v>
      </c>
      <c r="J552" s="16" t="s">
        <v>88</v>
      </c>
      <c r="K552" s="16" t="s">
        <v>89</v>
      </c>
      <c r="L552" s="16" t="s">
        <v>90</v>
      </c>
      <c r="M552" s="64" t="s">
        <v>1213</v>
      </c>
    </row>
    <row r="553" spans="1:13" x14ac:dyDescent="0.25">
      <c r="A553" s="9" t="s">
        <v>634</v>
      </c>
      <c r="B553" s="9" t="s">
        <v>144</v>
      </c>
      <c r="C553" s="10" t="s">
        <v>1114</v>
      </c>
      <c r="D553" s="9" t="s">
        <v>1115</v>
      </c>
      <c r="E553" s="9">
        <v>34.5</v>
      </c>
      <c r="F553" s="21">
        <v>3</v>
      </c>
      <c r="G553" s="16" t="s">
        <v>1093</v>
      </c>
      <c r="H553" s="16">
        <v>3</v>
      </c>
      <c r="I553" s="16" t="s">
        <v>1116</v>
      </c>
      <c r="J553" s="16" t="s">
        <v>88</v>
      </c>
      <c r="K553" s="16" t="s">
        <v>89</v>
      </c>
      <c r="L553" s="16" t="s">
        <v>90</v>
      </c>
      <c r="M553" s="64" t="s">
        <v>1213</v>
      </c>
    </row>
    <row r="554" spans="1:13" x14ac:dyDescent="0.25">
      <c r="A554" s="9" t="s">
        <v>634</v>
      </c>
      <c r="B554" s="9" t="s">
        <v>144</v>
      </c>
      <c r="C554" s="10" t="s">
        <v>1117</v>
      </c>
      <c r="D554" s="9" t="s">
        <v>1118</v>
      </c>
      <c r="E554" s="9">
        <v>34.5</v>
      </c>
      <c r="F554" s="21">
        <v>10</v>
      </c>
      <c r="G554" s="16" t="s">
        <v>1093</v>
      </c>
      <c r="H554" s="16">
        <v>10</v>
      </c>
      <c r="I554" s="16" t="s">
        <v>1094</v>
      </c>
      <c r="J554" s="16" t="s">
        <v>88</v>
      </c>
      <c r="K554" s="16" t="s">
        <v>89</v>
      </c>
      <c r="L554" s="16" t="s">
        <v>90</v>
      </c>
      <c r="M554" s="64" t="s">
        <v>1213</v>
      </c>
    </row>
    <row r="555" spans="1:13" x14ac:dyDescent="0.25">
      <c r="A555" s="9" t="s">
        <v>634</v>
      </c>
      <c r="B555" s="9" t="s">
        <v>144</v>
      </c>
      <c r="C555" s="10" t="s">
        <v>1119</v>
      </c>
      <c r="D555" s="9" t="s">
        <v>1120</v>
      </c>
      <c r="E555" s="9">
        <v>34.5</v>
      </c>
      <c r="F555" s="21">
        <v>10</v>
      </c>
      <c r="G555" s="16" t="s">
        <v>1093</v>
      </c>
      <c r="H555" s="16">
        <v>10</v>
      </c>
      <c r="I555" s="16" t="s">
        <v>1094</v>
      </c>
      <c r="J555" s="16" t="s">
        <v>88</v>
      </c>
      <c r="K555" s="16" t="s">
        <v>89</v>
      </c>
      <c r="L555" s="16" t="s">
        <v>90</v>
      </c>
      <c r="M555" s="64" t="s">
        <v>1213</v>
      </c>
    </row>
    <row r="556" spans="1:13" x14ac:dyDescent="0.25">
      <c r="A556" s="9" t="s">
        <v>634</v>
      </c>
      <c r="B556" s="9" t="s">
        <v>144</v>
      </c>
      <c r="C556" s="10" t="s">
        <v>1121</v>
      </c>
      <c r="D556" s="9" t="s">
        <v>1122</v>
      </c>
      <c r="E556" s="9">
        <v>34.5</v>
      </c>
      <c r="F556" s="21">
        <v>5</v>
      </c>
      <c r="G556" s="16" t="s">
        <v>1093</v>
      </c>
      <c r="H556" s="16">
        <v>5</v>
      </c>
      <c r="I556" s="16" t="s">
        <v>1106</v>
      </c>
      <c r="J556" s="16" t="s">
        <v>88</v>
      </c>
      <c r="K556" s="16" t="s">
        <v>89</v>
      </c>
      <c r="L556" s="16" t="s">
        <v>90</v>
      </c>
      <c r="M556" s="64" t="s">
        <v>1213</v>
      </c>
    </row>
    <row r="557" spans="1:13" x14ac:dyDescent="0.25">
      <c r="A557" s="9" t="s">
        <v>634</v>
      </c>
      <c r="B557" s="9" t="s">
        <v>144</v>
      </c>
      <c r="C557" s="10" t="s">
        <v>1123</v>
      </c>
      <c r="D557" s="9" t="s">
        <v>1124</v>
      </c>
      <c r="E557" s="9">
        <v>34.5</v>
      </c>
      <c r="F557" s="21">
        <v>2.5</v>
      </c>
      <c r="G557" s="16" t="s">
        <v>1093</v>
      </c>
      <c r="H557" s="16">
        <v>2.5</v>
      </c>
      <c r="I557" s="16" t="s">
        <v>1125</v>
      </c>
      <c r="J557" s="16" t="s">
        <v>88</v>
      </c>
      <c r="K557" s="16" t="s">
        <v>89</v>
      </c>
      <c r="L557" s="16" t="s">
        <v>90</v>
      </c>
      <c r="M557" s="64" t="s">
        <v>1213</v>
      </c>
    </row>
    <row r="558" spans="1:13" x14ac:dyDescent="0.25">
      <c r="A558" s="9" t="s">
        <v>634</v>
      </c>
      <c r="B558" s="9" t="s">
        <v>144</v>
      </c>
      <c r="C558" s="10" t="s">
        <v>1126</v>
      </c>
      <c r="D558" s="9" t="s">
        <v>1127</v>
      </c>
      <c r="E558" s="9">
        <v>34.5</v>
      </c>
      <c r="F558" s="21">
        <v>2.5</v>
      </c>
      <c r="G558" s="16" t="s">
        <v>1093</v>
      </c>
      <c r="H558" s="16">
        <v>2.5</v>
      </c>
      <c r="I558" s="16" t="s">
        <v>1125</v>
      </c>
      <c r="J558" s="16" t="s">
        <v>88</v>
      </c>
      <c r="K558" s="16" t="s">
        <v>89</v>
      </c>
      <c r="L558" s="16" t="s">
        <v>90</v>
      </c>
      <c r="M558" s="64" t="s">
        <v>1213</v>
      </c>
    </row>
    <row r="559" spans="1:13" x14ac:dyDescent="0.25">
      <c r="A559" s="9" t="s">
        <v>634</v>
      </c>
      <c r="B559" s="9" t="s">
        <v>144</v>
      </c>
      <c r="C559" s="10" t="s">
        <v>1128</v>
      </c>
      <c r="D559" s="9" t="s">
        <v>1129</v>
      </c>
      <c r="E559" s="9">
        <v>34.5</v>
      </c>
      <c r="F559" s="21">
        <v>10</v>
      </c>
      <c r="G559" s="16" t="s">
        <v>1093</v>
      </c>
      <c r="H559" s="16">
        <v>10</v>
      </c>
      <c r="I559" s="16" t="s">
        <v>1094</v>
      </c>
      <c r="J559" s="16" t="s">
        <v>88</v>
      </c>
      <c r="K559" s="16" t="s">
        <v>89</v>
      </c>
      <c r="L559" s="16" t="s">
        <v>90</v>
      </c>
      <c r="M559" s="64" t="s">
        <v>1213</v>
      </c>
    </row>
    <row r="560" spans="1:13" x14ac:dyDescent="0.25">
      <c r="A560" s="9" t="s">
        <v>634</v>
      </c>
      <c r="B560" s="9" t="s">
        <v>144</v>
      </c>
      <c r="C560" s="10" t="s">
        <v>1130</v>
      </c>
      <c r="D560" s="9" t="s">
        <v>1131</v>
      </c>
      <c r="E560" s="9">
        <v>34.5</v>
      </c>
      <c r="F560" s="21">
        <v>5</v>
      </c>
      <c r="G560" s="16" t="s">
        <v>1093</v>
      </c>
      <c r="H560" s="16">
        <v>15</v>
      </c>
      <c r="I560" s="16" t="s">
        <v>1106</v>
      </c>
      <c r="J560" s="16" t="s">
        <v>88</v>
      </c>
      <c r="K560" s="16" t="s">
        <v>89</v>
      </c>
      <c r="L560" s="16" t="s">
        <v>90</v>
      </c>
      <c r="M560" s="64" t="s">
        <v>1213</v>
      </c>
    </row>
    <row r="561" spans="1:13" x14ac:dyDescent="0.25">
      <c r="A561" s="9" t="s">
        <v>634</v>
      </c>
      <c r="B561" s="9" t="s">
        <v>144</v>
      </c>
      <c r="C561" s="10" t="s">
        <v>1130</v>
      </c>
      <c r="D561" s="9" t="s">
        <v>1131</v>
      </c>
      <c r="E561" s="9">
        <v>34.5</v>
      </c>
      <c r="F561" s="21">
        <v>10</v>
      </c>
      <c r="G561" s="16" t="s">
        <v>1093</v>
      </c>
      <c r="H561" s="16"/>
      <c r="I561" s="16" t="s">
        <v>1094</v>
      </c>
      <c r="J561" s="16" t="s">
        <v>88</v>
      </c>
      <c r="K561" s="16" t="s">
        <v>89</v>
      </c>
      <c r="L561" s="16" t="s">
        <v>90</v>
      </c>
      <c r="M561" s="64" t="s">
        <v>1213</v>
      </c>
    </row>
    <row r="562" spans="1:13" x14ac:dyDescent="0.25">
      <c r="A562" s="9" t="s">
        <v>1015</v>
      </c>
      <c r="B562" s="9" t="s">
        <v>135</v>
      </c>
      <c r="C562" s="10" t="s">
        <v>1016</v>
      </c>
      <c r="D562" s="9" t="s">
        <v>1017</v>
      </c>
      <c r="E562" s="9">
        <v>34.5</v>
      </c>
      <c r="F562" s="21">
        <v>9</v>
      </c>
      <c r="G562" s="16" t="s">
        <v>301</v>
      </c>
      <c r="H562" s="16">
        <v>10</v>
      </c>
      <c r="I562" s="16" t="s">
        <v>1018</v>
      </c>
      <c r="J562" s="16" t="s">
        <v>88</v>
      </c>
      <c r="K562" s="16" t="s">
        <v>89</v>
      </c>
      <c r="L562" s="16" t="s">
        <v>90</v>
      </c>
      <c r="M562" s="64" t="s">
        <v>1214</v>
      </c>
    </row>
    <row r="563" spans="1:13" x14ac:dyDescent="0.25">
      <c r="A563" s="9" t="s">
        <v>1015</v>
      </c>
      <c r="B563" s="9" t="s">
        <v>135</v>
      </c>
      <c r="C563" s="10" t="s">
        <v>1019</v>
      </c>
      <c r="D563" s="9" t="s">
        <v>1020</v>
      </c>
      <c r="E563" s="9">
        <v>34.5</v>
      </c>
      <c r="F563" s="21">
        <v>9</v>
      </c>
      <c r="G563" s="16" t="s">
        <v>301</v>
      </c>
      <c r="H563" s="16">
        <v>10</v>
      </c>
      <c r="I563" s="16" t="s">
        <v>1021</v>
      </c>
      <c r="J563" s="16" t="s">
        <v>88</v>
      </c>
      <c r="K563" s="16" t="s">
        <v>89</v>
      </c>
      <c r="L563" s="16" t="s">
        <v>90</v>
      </c>
      <c r="M563" s="64" t="s">
        <v>1214</v>
      </c>
    </row>
    <row r="564" spans="1:13" x14ac:dyDescent="0.25">
      <c r="A564" s="9" t="s">
        <v>1015</v>
      </c>
      <c r="B564" s="9" t="s">
        <v>135</v>
      </c>
      <c r="C564" s="10" t="s">
        <v>1022</v>
      </c>
      <c r="D564" s="9" t="s">
        <v>1023</v>
      </c>
      <c r="E564" s="9">
        <v>34.5</v>
      </c>
      <c r="F564" s="21">
        <v>9</v>
      </c>
      <c r="G564" s="16" t="s">
        <v>301</v>
      </c>
      <c r="H564" s="16">
        <v>10</v>
      </c>
      <c r="I564" s="16" t="s">
        <v>1024</v>
      </c>
      <c r="J564" s="16" t="s">
        <v>114</v>
      </c>
      <c r="K564" s="16" t="s">
        <v>89</v>
      </c>
      <c r="L564" s="16" t="s">
        <v>90</v>
      </c>
      <c r="M564" s="64" t="s">
        <v>1214</v>
      </c>
    </row>
    <row r="565" spans="1:13" x14ac:dyDescent="0.25">
      <c r="A565" s="9" t="s">
        <v>1015</v>
      </c>
      <c r="B565" s="9" t="s">
        <v>135</v>
      </c>
      <c r="C565" s="10" t="s">
        <v>1025</v>
      </c>
      <c r="D565" s="9" t="s">
        <v>1026</v>
      </c>
      <c r="E565" s="9">
        <v>34.5</v>
      </c>
      <c r="F565" s="21">
        <v>4.5</v>
      </c>
      <c r="G565" s="16" t="s">
        <v>301</v>
      </c>
      <c r="H565" s="16">
        <v>5</v>
      </c>
      <c r="I565" s="16" t="s">
        <v>1027</v>
      </c>
      <c r="J565" s="16" t="s">
        <v>88</v>
      </c>
      <c r="K565" s="16" t="s">
        <v>109</v>
      </c>
      <c r="L565" s="16" t="s">
        <v>90</v>
      </c>
      <c r="M565" s="64" t="s">
        <v>1214</v>
      </c>
    </row>
    <row r="566" spans="1:13" x14ac:dyDescent="0.25">
      <c r="A566" s="9" t="s">
        <v>1015</v>
      </c>
      <c r="B566" s="9" t="s">
        <v>135</v>
      </c>
      <c r="C566" s="10" t="s">
        <v>1028</v>
      </c>
      <c r="D566" s="9" t="s">
        <v>1029</v>
      </c>
      <c r="E566" s="9">
        <v>34.5</v>
      </c>
      <c r="F566" s="21">
        <v>9</v>
      </c>
      <c r="G566" s="16" t="s">
        <v>301</v>
      </c>
      <c r="H566" s="16">
        <v>10</v>
      </c>
      <c r="I566" s="16" t="s">
        <v>1021</v>
      </c>
      <c r="J566" s="16" t="s">
        <v>88</v>
      </c>
      <c r="K566" s="16" t="s">
        <v>89</v>
      </c>
      <c r="L566" s="16" t="s">
        <v>90</v>
      </c>
      <c r="M566" s="64" t="s">
        <v>1214</v>
      </c>
    </row>
    <row r="567" spans="1:13" x14ac:dyDescent="0.25">
      <c r="A567" s="9" t="s">
        <v>1015</v>
      </c>
      <c r="B567" s="9" t="s">
        <v>135</v>
      </c>
      <c r="C567" s="10" t="s">
        <v>1028</v>
      </c>
      <c r="D567" s="9" t="s">
        <v>1029</v>
      </c>
      <c r="E567" s="9">
        <v>34.5</v>
      </c>
      <c r="F567" s="21">
        <v>9</v>
      </c>
      <c r="G567" s="16" t="s">
        <v>326</v>
      </c>
      <c r="H567" s="16">
        <v>10</v>
      </c>
      <c r="I567" s="16" t="s">
        <v>1018</v>
      </c>
      <c r="J567" s="16" t="s">
        <v>88</v>
      </c>
      <c r="K567" s="16" t="s">
        <v>89</v>
      </c>
      <c r="L567" s="16" t="s">
        <v>90</v>
      </c>
      <c r="M567" s="64" t="s">
        <v>1214</v>
      </c>
    </row>
    <row r="568" spans="1:13" x14ac:dyDescent="0.25">
      <c r="A568" s="9" t="s">
        <v>1015</v>
      </c>
      <c r="B568" s="9" t="s">
        <v>135</v>
      </c>
      <c r="C568" s="10" t="s">
        <v>373</v>
      </c>
      <c r="D568" s="9" t="s">
        <v>1030</v>
      </c>
      <c r="E568" s="9">
        <v>34.5</v>
      </c>
      <c r="F568" s="21">
        <v>9</v>
      </c>
      <c r="G568" s="16" t="s">
        <v>301</v>
      </c>
      <c r="H568" s="16">
        <v>10</v>
      </c>
      <c r="I568" s="16" t="s">
        <v>1031</v>
      </c>
      <c r="J568" s="16" t="s">
        <v>114</v>
      </c>
      <c r="K568" s="16" t="s">
        <v>89</v>
      </c>
      <c r="L568" s="16" t="s">
        <v>90</v>
      </c>
      <c r="M568" s="64" t="s">
        <v>1214</v>
      </c>
    </row>
    <row r="569" spans="1:13" x14ac:dyDescent="0.25">
      <c r="A569" s="9" t="s">
        <v>1015</v>
      </c>
      <c r="B569" s="9" t="s">
        <v>135</v>
      </c>
      <c r="C569" s="10" t="s">
        <v>1032</v>
      </c>
      <c r="D569" s="9" t="s">
        <v>1033</v>
      </c>
      <c r="E569" s="9">
        <v>34.5</v>
      </c>
      <c r="F569" s="21">
        <v>4.5</v>
      </c>
      <c r="G569" s="16" t="s">
        <v>301</v>
      </c>
      <c r="H569" s="16">
        <v>5</v>
      </c>
      <c r="I569" s="16" t="s">
        <v>1034</v>
      </c>
      <c r="J569" s="16" t="s">
        <v>88</v>
      </c>
      <c r="K569" s="16" t="s">
        <v>89</v>
      </c>
      <c r="L569" s="16" t="s">
        <v>90</v>
      </c>
      <c r="M569" s="64" t="s">
        <v>1214</v>
      </c>
    </row>
    <row r="570" spans="1:13" x14ac:dyDescent="0.25">
      <c r="A570" s="9" t="s">
        <v>1015</v>
      </c>
      <c r="B570" s="9" t="s">
        <v>135</v>
      </c>
      <c r="C570" s="10" t="s">
        <v>1035</v>
      </c>
      <c r="D570" s="9" t="s">
        <v>1036</v>
      </c>
      <c r="E570" s="9">
        <v>34.5</v>
      </c>
      <c r="F570" s="21">
        <v>4.5</v>
      </c>
      <c r="G570" s="16" t="s">
        <v>301</v>
      </c>
      <c r="H570" s="16">
        <v>5</v>
      </c>
      <c r="I570" s="16" t="s">
        <v>1027</v>
      </c>
      <c r="J570" s="16" t="s">
        <v>88</v>
      </c>
      <c r="K570" s="16" t="s">
        <v>89</v>
      </c>
      <c r="L570" s="16" t="s">
        <v>90</v>
      </c>
      <c r="M570" s="64" t="s">
        <v>1214</v>
      </c>
    </row>
    <row r="571" spans="1:13" x14ac:dyDescent="0.25">
      <c r="A571" s="9" t="s">
        <v>1015</v>
      </c>
      <c r="B571" s="9" t="s">
        <v>135</v>
      </c>
      <c r="C571" s="10" t="s">
        <v>1037</v>
      </c>
      <c r="D571" s="9" t="s">
        <v>1038</v>
      </c>
      <c r="E571" s="9">
        <v>34.5</v>
      </c>
      <c r="F571" s="21">
        <v>2.25</v>
      </c>
      <c r="G571" s="16" t="s">
        <v>301</v>
      </c>
      <c r="H571" s="16">
        <v>2.5</v>
      </c>
      <c r="I571" s="16" t="s">
        <v>1039</v>
      </c>
      <c r="J571" s="16" t="s">
        <v>88</v>
      </c>
      <c r="K571" s="16" t="s">
        <v>89</v>
      </c>
      <c r="L571" s="16" t="s">
        <v>90</v>
      </c>
      <c r="M571" s="64" t="s">
        <v>1214</v>
      </c>
    </row>
    <row r="572" spans="1:13" x14ac:dyDescent="0.25">
      <c r="A572" s="9" t="s">
        <v>1015</v>
      </c>
      <c r="B572" s="9" t="s">
        <v>135</v>
      </c>
      <c r="C572" s="10" t="s">
        <v>1040</v>
      </c>
      <c r="D572" s="9" t="s">
        <v>1041</v>
      </c>
      <c r="E572" s="9">
        <v>34.5</v>
      </c>
      <c r="F572" s="21">
        <v>5.4</v>
      </c>
      <c r="G572" s="16" t="s">
        <v>301</v>
      </c>
      <c r="H572" s="16">
        <v>6</v>
      </c>
      <c r="I572" s="16" t="s">
        <v>1042</v>
      </c>
      <c r="J572" s="16" t="s">
        <v>88</v>
      </c>
      <c r="K572" s="16" t="s">
        <v>89</v>
      </c>
      <c r="L572" s="16" t="s">
        <v>90</v>
      </c>
      <c r="M572" s="64" t="s">
        <v>1214</v>
      </c>
    </row>
    <row r="573" spans="1:13" x14ac:dyDescent="0.25">
      <c r="A573" s="9" t="s">
        <v>1015</v>
      </c>
      <c r="B573" s="9" t="s">
        <v>135</v>
      </c>
      <c r="C573" s="10" t="s">
        <v>872</v>
      </c>
      <c r="D573" s="9" t="s">
        <v>1043</v>
      </c>
      <c r="E573" s="9">
        <v>34.5</v>
      </c>
      <c r="F573" s="21">
        <v>9</v>
      </c>
      <c r="G573" s="16" t="s">
        <v>301</v>
      </c>
      <c r="H573" s="16">
        <v>10</v>
      </c>
      <c r="I573" s="16" t="s">
        <v>1031</v>
      </c>
      <c r="J573" s="16" t="s">
        <v>114</v>
      </c>
      <c r="K573" s="16" t="s">
        <v>89</v>
      </c>
      <c r="L573" s="16" t="s">
        <v>90</v>
      </c>
      <c r="M573" s="64" t="s">
        <v>1214</v>
      </c>
    </row>
    <row r="574" spans="1:13" x14ac:dyDescent="0.25">
      <c r="A574" s="9" t="s">
        <v>1015</v>
      </c>
      <c r="B574" s="9" t="s">
        <v>135</v>
      </c>
      <c r="C574" s="10" t="s">
        <v>872</v>
      </c>
      <c r="D574" s="9" t="s">
        <v>1043</v>
      </c>
      <c r="E574" s="9">
        <v>34.5</v>
      </c>
      <c r="F574" s="21">
        <v>10.8</v>
      </c>
      <c r="G574" s="16" t="s">
        <v>326</v>
      </c>
      <c r="H574" s="16">
        <v>12</v>
      </c>
      <c r="I574" s="16" t="s">
        <v>1044</v>
      </c>
      <c r="J574" s="16" t="s">
        <v>114</v>
      </c>
      <c r="K574" s="16" t="s">
        <v>109</v>
      </c>
      <c r="L574" s="16" t="s">
        <v>90</v>
      </c>
      <c r="M574" s="64" t="s">
        <v>1214</v>
      </c>
    </row>
    <row r="575" spans="1:13" x14ac:dyDescent="0.25">
      <c r="A575" s="9" t="s">
        <v>1015</v>
      </c>
      <c r="B575" s="9" t="s">
        <v>135</v>
      </c>
      <c r="C575" s="10" t="s">
        <v>1045</v>
      </c>
      <c r="D575" s="9" t="s">
        <v>1046</v>
      </c>
      <c r="E575" s="9">
        <v>34.5</v>
      </c>
      <c r="F575" s="21">
        <v>4.5</v>
      </c>
      <c r="G575" s="16" t="s">
        <v>301</v>
      </c>
      <c r="H575" s="16">
        <v>5</v>
      </c>
      <c r="I575" s="16" t="s">
        <v>1047</v>
      </c>
      <c r="J575" s="16" t="s">
        <v>88</v>
      </c>
      <c r="K575" s="16" t="s">
        <v>89</v>
      </c>
      <c r="L575" s="16" t="s">
        <v>90</v>
      </c>
      <c r="M575" s="64" t="s">
        <v>1214</v>
      </c>
    </row>
    <row r="576" spans="1:13" x14ac:dyDescent="0.25">
      <c r="A576" s="9" t="s">
        <v>1015</v>
      </c>
      <c r="B576" s="9" t="s">
        <v>135</v>
      </c>
      <c r="C576" s="10" t="s">
        <v>1048</v>
      </c>
      <c r="D576" s="9" t="s">
        <v>1049</v>
      </c>
      <c r="E576" s="9">
        <v>34.5</v>
      </c>
      <c r="F576" s="21">
        <v>4.5</v>
      </c>
      <c r="G576" s="16" t="s">
        <v>301</v>
      </c>
      <c r="H576" s="16">
        <v>5</v>
      </c>
      <c r="I576" s="16" t="s">
        <v>1050</v>
      </c>
      <c r="J576" s="16" t="s">
        <v>114</v>
      </c>
      <c r="K576" s="16" t="s">
        <v>89</v>
      </c>
      <c r="L576" s="16" t="s">
        <v>90</v>
      </c>
      <c r="M576" s="64" t="s">
        <v>1214</v>
      </c>
    </row>
    <row r="577" spans="1:13" x14ac:dyDescent="0.25">
      <c r="A577" s="9" t="s">
        <v>1015</v>
      </c>
      <c r="B577" s="9" t="s">
        <v>135</v>
      </c>
      <c r="C577" s="10" t="s">
        <v>1051</v>
      </c>
      <c r="D577" s="9" t="s">
        <v>1052</v>
      </c>
      <c r="E577" s="9">
        <v>34.5</v>
      </c>
      <c r="F577" s="21">
        <v>9</v>
      </c>
      <c r="G577" s="16" t="s">
        <v>301</v>
      </c>
      <c r="H577" s="16">
        <v>10</v>
      </c>
      <c r="I577" s="16" t="s">
        <v>1053</v>
      </c>
      <c r="J577" s="16" t="s">
        <v>88</v>
      </c>
      <c r="K577" s="16" t="s">
        <v>89</v>
      </c>
      <c r="L577" s="16" t="s">
        <v>90</v>
      </c>
      <c r="M577" s="64" t="s">
        <v>1214</v>
      </c>
    </row>
    <row r="578" spans="1:13" x14ac:dyDescent="0.25">
      <c r="A578" s="9" t="s">
        <v>1015</v>
      </c>
      <c r="B578" s="9" t="s">
        <v>135</v>
      </c>
      <c r="C578" s="10" t="s">
        <v>1054</v>
      </c>
      <c r="D578" s="9" t="s">
        <v>1055</v>
      </c>
      <c r="E578" s="9">
        <v>34.5</v>
      </c>
      <c r="F578" s="21">
        <v>9</v>
      </c>
      <c r="G578" s="16" t="s">
        <v>301</v>
      </c>
      <c r="H578" s="16">
        <v>10</v>
      </c>
      <c r="I578" s="16" t="s">
        <v>1031</v>
      </c>
      <c r="J578" s="16" t="s">
        <v>114</v>
      </c>
      <c r="K578" s="16" t="s">
        <v>89</v>
      </c>
      <c r="L578" s="16" t="s">
        <v>90</v>
      </c>
      <c r="M578" s="64" t="s">
        <v>1214</v>
      </c>
    </row>
    <row r="579" spans="1:13" x14ac:dyDescent="0.25">
      <c r="A579" s="9" t="s">
        <v>1015</v>
      </c>
      <c r="B579" s="9" t="s">
        <v>135</v>
      </c>
      <c r="C579" s="10" t="s">
        <v>1056</v>
      </c>
      <c r="D579" s="9" t="s">
        <v>1057</v>
      </c>
      <c r="E579" s="9">
        <v>34.5</v>
      </c>
      <c r="F579" s="21">
        <v>4.5</v>
      </c>
      <c r="G579" s="16" t="s">
        <v>301</v>
      </c>
      <c r="H579" s="16">
        <v>5</v>
      </c>
      <c r="I579" s="16" t="s">
        <v>1027</v>
      </c>
      <c r="J579" s="16" t="s">
        <v>88</v>
      </c>
      <c r="K579" s="16" t="s">
        <v>89</v>
      </c>
      <c r="L579" s="16" t="s">
        <v>90</v>
      </c>
      <c r="M579" s="64" t="s">
        <v>1214</v>
      </c>
    </row>
    <row r="580" spans="1:13" x14ac:dyDescent="0.25">
      <c r="A580" s="9" t="s">
        <v>1015</v>
      </c>
      <c r="B580" s="9" t="s">
        <v>135</v>
      </c>
      <c r="C580" s="10" t="s">
        <v>1058</v>
      </c>
      <c r="D580" s="9" t="s">
        <v>1059</v>
      </c>
      <c r="E580" s="9">
        <v>34.5</v>
      </c>
      <c r="F580" s="21">
        <v>9</v>
      </c>
      <c r="G580" s="16" t="s">
        <v>301</v>
      </c>
      <c r="H580" s="16">
        <v>10</v>
      </c>
      <c r="I580" s="16" t="s">
        <v>1021</v>
      </c>
      <c r="J580" s="16" t="s">
        <v>114</v>
      </c>
      <c r="K580" s="16" t="s">
        <v>89</v>
      </c>
      <c r="L580" s="16" t="s">
        <v>90</v>
      </c>
      <c r="M580" s="64" t="s">
        <v>1214</v>
      </c>
    </row>
    <row r="581" spans="1:13" x14ac:dyDescent="0.25">
      <c r="A581" s="9" t="s">
        <v>1015</v>
      </c>
      <c r="B581" s="9" t="s">
        <v>135</v>
      </c>
      <c r="C581" s="10" t="s">
        <v>1058</v>
      </c>
      <c r="D581" s="9" t="s">
        <v>1059</v>
      </c>
      <c r="E581" s="9">
        <v>34.5</v>
      </c>
      <c r="F581" s="21">
        <v>9</v>
      </c>
      <c r="G581" s="16" t="s">
        <v>326</v>
      </c>
      <c r="H581" s="16">
        <v>10</v>
      </c>
      <c r="I581" s="16" t="s">
        <v>1021</v>
      </c>
      <c r="J581" s="16" t="s">
        <v>88</v>
      </c>
      <c r="K581" s="16" t="s">
        <v>89</v>
      </c>
      <c r="L581" s="16" t="s">
        <v>90</v>
      </c>
      <c r="M581" s="64" t="s">
        <v>1214</v>
      </c>
    </row>
    <row r="582" spans="1:13" x14ac:dyDescent="0.25">
      <c r="A582" s="9" t="s">
        <v>126</v>
      </c>
      <c r="B582" s="9" t="s">
        <v>136</v>
      </c>
      <c r="C582" s="10" t="s">
        <v>1132</v>
      </c>
      <c r="D582" s="9" t="s">
        <v>1133</v>
      </c>
      <c r="E582" s="9">
        <v>34.5</v>
      </c>
      <c r="F582" s="21">
        <f>+H582*0.9</f>
        <v>9</v>
      </c>
      <c r="G582" s="16" t="s">
        <v>1134</v>
      </c>
      <c r="H582" s="16">
        <v>10</v>
      </c>
      <c r="I582" s="16" t="s">
        <v>1135</v>
      </c>
      <c r="J582" s="16" t="s">
        <v>114</v>
      </c>
      <c r="K582" s="16" t="s">
        <v>89</v>
      </c>
      <c r="L582" s="16" t="s">
        <v>90</v>
      </c>
      <c r="M582" s="64" t="s">
        <v>1214</v>
      </c>
    </row>
    <row r="583" spans="1:13" x14ac:dyDescent="0.25">
      <c r="A583" s="9" t="s">
        <v>126</v>
      </c>
      <c r="B583" s="9" t="s">
        <v>136</v>
      </c>
      <c r="C583" s="10" t="s">
        <v>1136</v>
      </c>
      <c r="D583" s="9" t="s">
        <v>1137</v>
      </c>
      <c r="E583" s="9">
        <v>34.5</v>
      </c>
      <c r="F583" s="21">
        <f t="shared" ref="F583:F593" si="1">+H583*0.9</f>
        <v>4.5</v>
      </c>
      <c r="G583" s="16" t="s">
        <v>1134</v>
      </c>
      <c r="H583" s="16">
        <v>5</v>
      </c>
      <c r="I583" s="16" t="s">
        <v>1138</v>
      </c>
      <c r="J583" s="16" t="s">
        <v>114</v>
      </c>
      <c r="K583" s="16" t="s">
        <v>89</v>
      </c>
      <c r="L583" s="16" t="s">
        <v>90</v>
      </c>
      <c r="M583" s="64" t="s">
        <v>1214</v>
      </c>
    </row>
    <row r="584" spans="1:13" x14ac:dyDescent="0.25">
      <c r="A584" s="9" t="s">
        <v>126</v>
      </c>
      <c r="B584" s="9" t="s">
        <v>136</v>
      </c>
      <c r="C584" s="10" t="s">
        <v>1139</v>
      </c>
      <c r="D584" s="9" t="s">
        <v>1140</v>
      </c>
      <c r="E584" s="9">
        <v>34.5</v>
      </c>
      <c r="F584" s="21">
        <f t="shared" si="1"/>
        <v>9</v>
      </c>
      <c r="G584" s="16" t="s">
        <v>1134</v>
      </c>
      <c r="H584" s="16">
        <v>10</v>
      </c>
      <c r="I584" s="16" t="s">
        <v>1141</v>
      </c>
      <c r="J584" s="16" t="s">
        <v>88</v>
      </c>
      <c r="K584" s="16" t="s">
        <v>89</v>
      </c>
      <c r="L584" s="16" t="s">
        <v>90</v>
      </c>
      <c r="M584" s="64" t="s">
        <v>1214</v>
      </c>
    </row>
    <row r="585" spans="1:13" x14ac:dyDescent="0.25">
      <c r="A585" s="9" t="s">
        <v>126</v>
      </c>
      <c r="B585" s="9" t="s">
        <v>136</v>
      </c>
      <c r="C585" s="10" t="s">
        <v>1139</v>
      </c>
      <c r="D585" s="9" t="s">
        <v>1140</v>
      </c>
      <c r="E585" s="9">
        <v>34.5</v>
      </c>
      <c r="F585" s="21">
        <f t="shared" si="1"/>
        <v>9</v>
      </c>
      <c r="G585" s="16" t="s">
        <v>1142</v>
      </c>
      <c r="H585" s="16">
        <v>10</v>
      </c>
      <c r="I585" s="16" t="s">
        <v>1135</v>
      </c>
      <c r="J585" s="16" t="s">
        <v>88</v>
      </c>
      <c r="K585" s="16" t="s">
        <v>89</v>
      </c>
      <c r="L585" s="16" t="s">
        <v>90</v>
      </c>
      <c r="M585" s="64" t="s">
        <v>1214</v>
      </c>
    </row>
    <row r="586" spans="1:13" x14ac:dyDescent="0.25">
      <c r="A586" s="9" t="s">
        <v>126</v>
      </c>
      <c r="B586" s="9" t="s">
        <v>136</v>
      </c>
      <c r="C586" s="10" t="s">
        <v>1143</v>
      </c>
      <c r="D586" s="9" t="s">
        <v>1144</v>
      </c>
      <c r="E586" s="9">
        <v>34.5</v>
      </c>
      <c r="F586" s="21">
        <f t="shared" si="1"/>
        <v>9</v>
      </c>
      <c r="G586" s="16" t="s">
        <v>1134</v>
      </c>
      <c r="H586" s="16">
        <v>10</v>
      </c>
      <c r="I586" s="16" t="s">
        <v>1141</v>
      </c>
      <c r="J586" s="16" t="s">
        <v>88</v>
      </c>
      <c r="K586" s="16" t="s">
        <v>89</v>
      </c>
      <c r="L586" s="16" t="s">
        <v>90</v>
      </c>
      <c r="M586" s="64" t="s">
        <v>1214</v>
      </c>
    </row>
    <row r="587" spans="1:13" x14ac:dyDescent="0.25">
      <c r="A587" s="9" t="s">
        <v>126</v>
      </c>
      <c r="B587" s="9" t="s">
        <v>136</v>
      </c>
      <c r="C587" s="10" t="s">
        <v>1143</v>
      </c>
      <c r="D587" s="9" t="s">
        <v>1144</v>
      </c>
      <c r="E587" s="9">
        <v>34.5</v>
      </c>
      <c r="F587" s="21">
        <f t="shared" si="1"/>
        <v>13.5</v>
      </c>
      <c r="G587" s="16" t="s">
        <v>1142</v>
      </c>
      <c r="H587" s="16">
        <v>15</v>
      </c>
      <c r="I587" s="16" t="s">
        <v>1145</v>
      </c>
      <c r="J587" s="16" t="s">
        <v>88</v>
      </c>
      <c r="K587" s="16" t="s">
        <v>89</v>
      </c>
      <c r="L587" s="16" t="s">
        <v>90</v>
      </c>
      <c r="M587" s="64" t="s">
        <v>1214</v>
      </c>
    </row>
    <row r="588" spans="1:13" x14ac:dyDescent="0.25">
      <c r="A588" s="9" t="s">
        <v>126</v>
      </c>
      <c r="B588" s="9" t="s">
        <v>136</v>
      </c>
      <c r="C588" s="10" t="s">
        <v>1146</v>
      </c>
      <c r="D588" s="9" t="s">
        <v>1147</v>
      </c>
      <c r="E588" s="9">
        <v>13.8</v>
      </c>
      <c r="F588" s="21">
        <f t="shared" si="1"/>
        <v>9</v>
      </c>
      <c r="G588" s="16" t="s">
        <v>1134</v>
      </c>
      <c r="H588" s="16">
        <v>10</v>
      </c>
      <c r="I588" s="16" t="s">
        <v>1148</v>
      </c>
      <c r="J588" s="16" t="s">
        <v>88</v>
      </c>
      <c r="K588" s="16" t="s">
        <v>89</v>
      </c>
      <c r="L588" s="16" t="s">
        <v>90</v>
      </c>
      <c r="M588" s="64" t="s">
        <v>1214</v>
      </c>
    </row>
    <row r="589" spans="1:13" x14ac:dyDescent="0.25">
      <c r="A589" s="9" t="s">
        <v>126</v>
      </c>
      <c r="B589" s="9" t="s">
        <v>136</v>
      </c>
      <c r="C589" s="10" t="s">
        <v>1149</v>
      </c>
      <c r="D589" s="9" t="s">
        <v>1150</v>
      </c>
      <c r="E589" s="9">
        <v>34.5</v>
      </c>
      <c r="F589" s="21">
        <f t="shared" si="1"/>
        <v>13.5</v>
      </c>
      <c r="G589" s="16" t="s">
        <v>1134</v>
      </c>
      <c r="H589" s="16">
        <v>15</v>
      </c>
      <c r="I589" s="16" t="s">
        <v>1151</v>
      </c>
      <c r="J589" s="16" t="s">
        <v>88</v>
      </c>
      <c r="K589" s="16" t="s">
        <v>89</v>
      </c>
      <c r="L589" s="16" t="s">
        <v>90</v>
      </c>
      <c r="M589" s="64" t="s">
        <v>1214</v>
      </c>
    </row>
    <row r="590" spans="1:13" x14ac:dyDescent="0.25">
      <c r="A590" s="9" t="s">
        <v>126</v>
      </c>
      <c r="B590" s="9" t="s">
        <v>136</v>
      </c>
      <c r="C590" s="10" t="s">
        <v>1152</v>
      </c>
      <c r="D590" s="9" t="s">
        <v>1153</v>
      </c>
      <c r="E590" s="9">
        <v>34.5</v>
      </c>
      <c r="F590" s="21">
        <f t="shared" si="1"/>
        <v>9</v>
      </c>
      <c r="G590" s="16" t="s">
        <v>1134</v>
      </c>
      <c r="H590" s="16">
        <v>10</v>
      </c>
      <c r="I590" s="16" t="s">
        <v>1154</v>
      </c>
      <c r="J590" s="16" t="s">
        <v>88</v>
      </c>
      <c r="K590" s="16" t="s">
        <v>89</v>
      </c>
      <c r="L590" s="16" t="s">
        <v>90</v>
      </c>
      <c r="M590" s="64" t="s">
        <v>1214</v>
      </c>
    </row>
    <row r="591" spans="1:13" x14ac:dyDescent="0.25">
      <c r="A591" s="9" t="s">
        <v>126</v>
      </c>
      <c r="B591" s="9" t="s">
        <v>136</v>
      </c>
      <c r="C591" s="10" t="s">
        <v>1155</v>
      </c>
      <c r="D591" s="9" t="s">
        <v>1156</v>
      </c>
      <c r="E591" s="9">
        <v>34.5</v>
      </c>
      <c r="F591" s="21">
        <f t="shared" si="1"/>
        <v>9</v>
      </c>
      <c r="G591" s="16" t="s">
        <v>1134</v>
      </c>
      <c r="H591" s="16">
        <v>10</v>
      </c>
      <c r="I591" s="16" t="s">
        <v>1135</v>
      </c>
      <c r="J591" s="16" t="s">
        <v>114</v>
      </c>
      <c r="K591" s="16" t="s">
        <v>89</v>
      </c>
      <c r="L591" s="16" t="s">
        <v>90</v>
      </c>
      <c r="M591" s="64" t="s">
        <v>1214</v>
      </c>
    </row>
    <row r="592" spans="1:13" x14ac:dyDescent="0.25">
      <c r="A592" s="9" t="s">
        <v>126</v>
      </c>
      <c r="B592" s="9" t="s">
        <v>136</v>
      </c>
      <c r="C592" s="10" t="s">
        <v>1157</v>
      </c>
      <c r="D592" s="9" t="s">
        <v>1158</v>
      </c>
      <c r="E592" s="9">
        <v>34.5</v>
      </c>
      <c r="F592" s="21">
        <f t="shared" si="1"/>
        <v>9</v>
      </c>
      <c r="G592" s="16" t="s">
        <v>1134</v>
      </c>
      <c r="H592" s="16">
        <v>10</v>
      </c>
      <c r="I592" s="16" t="s">
        <v>1159</v>
      </c>
      <c r="J592" s="16" t="s">
        <v>88</v>
      </c>
      <c r="K592" s="16" t="s">
        <v>89</v>
      </c>
      <c r="L592" s="16" t="s">
        <v>90</v>
      </c>
      <c r="M592" s="64" t="s">
        <v>1214</v>
      </c>
    </row>
    <row r="593" spans="1:13" x14ac:dyDescent="0.25">
      <c r="A593" s="9" t="s">
        <v>126</v>
      </c>
      <c r="B593" s="9" t="s">
        <v>136</v>
      </c>
      <c r="C593" s="10" t="s">
        <v>1157</v>
      </c>
      <c r="D593" s="9" t="s">
        <v>1158</v>
      </c>
      <c r="E593" s="9">
        <v>34.5</v>
      </c>
      <c r="F593" s="21">
        <f t="shared" si="1"/>
        <v>9</v>
      </c>
      <c r="G593" s="16" t="s">
        <v>1142</v>
      </c>
      <c r="H593" s="16">
        <v>10</v>
      </c>
      <c r="I593" s="16" t="s">
        <v>1135</v>
      </c>
      <c r="J593" s="16" t="s">
        <v>88</v>
      </c>
      <c r="K593" s="16" t="s">
        <v>89</v>
      </c>
      <c r="L593" s="16" t="s">
        <v>90</v>
      </c>
      <c r="M593" s="64" t="s">
        <v>1214</v>
      </c>
    </row>
    <row r="594" spans="1:13" ht="45" x14ac:dyDescent="0.25">
      <c r="A594" s="11" t="s">
        <v>744</v>
      </c>
      <c r="B594" s="11" t="s">
        <v>1219</v>
      </c>
      <c r="C594" s="68" t="s">
        <v>1220</v>
      </c>
      <c r="D594" s="9" t="s">
        <v>1221</v>
      </c>
      <c r="E594" s="9">
        <v>34.5</v>
      </c>
      <c r="F594" s="69">
        <f>6680*0.87</f>
        <v>5811.6</v>
      </c>
      <c r="G594" s="16" t="s">
        <v>1093</v>
      </c>
      <c r="H594" s="69">
        <v>10</v>
      </c>
      <c r="I594" s="70" t="s">
        <v>1222</v>
      </c>
      <c r="J594" s="13" t="s">
        <v>88</v>
      </c>
      <c r="K594" s="16" t="s">
        <v>89</v>
      </c>
      <c r="L594" s="16" t="s">
        <v>90</v>
      </c>
    </row>
    <row r="595" spans="1:13" ht="60" x14ac:dyDescent="0.25">
      <c r="A595" s="11" t="s">
        <v>744</v>
      </c>
      <c r="B595" s="11" t="s">
        <v>1219</v>
      </c>
      <c r="C595" s="68" t="s">
        <v>1223</v>
      </c>
      <c r="D595" s="9" t="s">
        <v>1224</v>
      </c>
      <c r="E595" s="9">
        <v>34.5</v>
      </c>
      <c r="F595" s="69">
        <f>2500*0.87</f>
        <v>2175</v>
      </c>
      <c r="G595" s="16" t="s">
        <v>1093</v>
      </c>
      <c r="H595" s="69">
        <v>10</v>
      </c>
      <c r="I595" s="70" t="s">
        <v>1225</v>
      </c>
      <c r="J595" s="13" t="s">
        <v>114</v>
      </c>
      <c r="K595" s="16" t="s">
        <v>89</v>
      </c>
      <c r="L595" s="16" t="s">
        <v>90</v>
      </c>
    </row>
    <row r="596" spans="1:13" ht="45" x14ac:dyDescent="0.25">
      <c r="A596" s="11" t="s">
        <v>744</v>
      </c>
      <c r="B596" s="11" t="s">
        <v>1219</v>
      </c>
      <c r="C596" s="68" t="s">
        <v>1223</v>
      </c>
      <c r="D596" s="9" t="s">
        <v>1224</v>
      </c>
      <c r="E596" s="9">
        <v>34.5</v>
      </c>
      <c r="F596" s="69">
        <f>9500*0.87</f>
        <v>8265</v>
      </c>
      <c r="G596" s="16" t="s">
        <v>1226</v>
      </c>
      <c r="H596" s="69">
        <v>10</v>
      </c>
      <c r="I596" s="70" t="s">
        <v>1227</v>
      </c>
      <c r="J596" s="13" t="s">
        <v>114</v>
      </c>
      <c r="K596" s="16" t="s">
        <v>89</v>
      </c>
      <c r="L596" s="16" t="s">
        <v>90</v>
      </c>
    </row>
    <row r="597" spans="1:13" ht="60" x14ac:dyDescent="0.25">
      <c r="A597" s="11" t="s">
        <v>744</v>
      </c>
      <c r="B597" s="11" t="s">
        <v>1219</v>
      </c>
      <c r="C597" s="68" t="s">
        <v>1228</v>
      </c>
      <c r="D597" s="9" t="s">
        <v>1229</v>
      </c>
      <c r="E597" s="9">
        <v>34.5</v>
      </c>
      <c r="F597" s="69">
        <f>21080*0.87</f>
        <v>18339.599999999999</v>
      </c>
      <c r="G597" s="16" t="s">
        <v>1093</v>
      </c>
      <c r="H597" s="69">
        <v>10</v>
      </c>
      <c r="I597" s="70" t="s">
        <v>1230</v>
      </c>
      <c r="J597" s="13" t="s">
        <v>88</v>
      </c>
      <c r="K597" s="16" t="s">
        <v>109</v>
      </c>
      <c r="L597" s="16" t="s">
        <v>90</v>
      </c>
    </row>
    <row r="598" spans="1:13" ht="45" x14ac:dyDescent="0.25">
      <c r="A598" s="11" t="s">
        <v>744</v>
      </c>
      <c r="B598" s="11" t="s">
        <v>1219</v>
      </c>
      <c r="C598" s="68" t="s">
        <v>1228</v>
      </c>
      <c r="D598" s="9" t="s">
        <v>1229</v>
      </c>
      <c r="E598" s="9">
        <v>34.5</v>
      </c>
      <c r="F598" s="69">
        <f>21080*0.87</f>
        <v>18339.599999999999</v>
      </c>
      <c r="G598" s="16" t="s">
        <v>93</v>
      </c>
      <c r="H598" s="69">
        <v>15</v>
      </c>
      <c r="I598" s="70" t="s">
        <v>1231</v>
      </c>
      <c r="J598" s="13" t="s">
        <v>114</v>
      </c>
      <c r="K598" s="16" t="s">
        <v>89</v>
      </c>
      <c r="L598" s="16" t="s">
        <v>93</v>
      </c>
    </row>
    <row r="599" spans="1:13" ht="60" x14ac:dyDescent="0.25">
      <c r="A599" s="11" t="s">
        <v>744</v>
      </c>
      <c r="B599" s="11" t="s">
        <v>1219</v>
      </c>
      <c r="C599" s="68" t="s">
        <v>1232</v>
      </c>
      <c r="D599" s="9" t="s">
        <v>1233</v>
      </c>
      <c r="E599" s="9">
        <v>34.5</v>
      </c>
      <c r="F599" s="71">
        <f>15265*0.87</f>
        <v>13280.55</v>
      </c>
      <c r="G599" s="16" t="s">
        <v>1093</v>
      </c>
      <c r="H599" s="69">
        <v>15</v>
      </c>
      <c r="I599" s="70" t="s">
        <v>1234</v>
      </c>
      <c r="J599" s="13" t="s">
        <v>114</v>
      </c>
      <c r="K599" s="16" t="s">
        <v>89</v>
      </c>
      <c r="L599" s="16" t="s">
        <v>90</v>
      </c>
    </row>
    <row r="600" spans="1:13" ht="45" x14ac:dyDescent="0.25">
      <c r="A600" s="11" t="s">
        <v>744</v>
      </c>
      <c r="B600" s="11" t="s">
        <v>1219</v>
      </c>
      <c r="C600" s="68" t="s">
        <v>1232</v>
      </c>
      <c r="D600" s="9" t="s">
        <v>1233</v>
      </c>
      <c r="E600" s="9">
        <v>34.5</v>
      </c>
      <c r="F600" s="71">
        <f>10215*0.87</f>
        <v>8887.0499999999993</v>
      </c>
      <c r="G600" s="16" t="s">
        <v>1226</v>
      </c>
      <c r="H600" s="69">
        <v>10</v>
      </c>
      <c r="I600" s="70" t="s">
        <v>1235</v>
      </c>
      <c r="J600" s="13" t="s">
        <v>114</v>
      </c>
      <c r="K600" s="16" t="s">
        <v>89</v>
      </c>
      <c r="L600" s="16" t="s">
        <v>90</v>
      </c>
    </row>
    <row r="601" spans="1:13" ht="30" x14ac:dyDescent="0.25">
      <c r="A601" s="11" t="s">
        <v>744</v>
      </c>
      <c r="B601" s="11" t="s">
        <v>1219</v>
      </c>
      <c r="C601" s="72" t="s">
        <v>1236</v>
      </c>
      <c r="D601" s="73" t="s">
        <v>1237</v>
      </c>
      <c r="E601" s="9">
        <v>34.5</v>
      </c>
      <c r="F601" s="71">
        <f>11212.5*0.87</f>
        <v>9754.875</v>
      </c>
      <c r="G601" s="13" t="s">
        <v>848</v>
      </c>
      <c r="H601" s="69" t="s">
        <v>848</v>
      </c>
      <c r="I601" s="43" t="s">
        <v>1238</v>
      </c>
      <c r="J601" s="13"/>
      <c r="K601" s="16"/>
      <c r="L601" s="16"/>
    </row>
    <row r="602" spans="1:13" ht="45" x14ac:dyDescent="0.25">
      <c r="A602" s="11" t="s">
        <v>744</v>
      </c>
      <c r="B602" s="11" t="s">
        <v>1219</v>
      </c>
      <c r="C602" s="68" t="s">
        <v>1239</v>
      </c>
      <c r="D602" s="9" t="s">
        <v>1240</v>
      </c>
      <c r="E602" s="9">
        <v>34.5</v>
      </c>
      <c r="F602" s="69">
        <f>15038*0.87</f>
        <v>13083.06</v>
      </c>
      <c r="G602" s="16" t="s">
        <v>1093</v>
      </c>
      <c r="H602" s="69">
        <v>15</v>
      </c>
      <c r="I602" s="70" t="s">
        <v>1241</v>
      </c>
      <c r="J602" s="13" t="s">
        <v>114</v>
      </c>
      <c r="K602" s="16" t="s">
        <v>89</v>
      </c>
      <c r="L602" s="16" t="s">
        <v>90</v>
      </c>
    </row>
    <row r="603" spans="1:13" ht="45" x14ac:dyDescent="0.25">
      <c r="A603" s="11" t="s">
        <v>744</v>
      </c>
      <c r="B603" s="11" t="s">
        <v>1219</v>
      </c>
      <c r="C603" s="74" t="s">
        <v>1242</v>
      </c>
      <c r="D603" s="9" t="s">
        <v>1243</v>
      </c>
      <c r="E603" s="9">
        <v>34.5</v>
      </c>
      <c r="F603" s="69" t="s">
        <v>848</v>
      </c>
      <c r="G603" s="13" t="s">
        <v>1093</v>
      </c>
      <c r="H603" s="69">
        <v>10</v>
      </c>
      <c r="I603" s="70" t="s">
        <v>1244</v>
      </c>
      <c r="J603" s="13" t="s">
        <v>88</v>
      </c>
      <c r="K603" s="16" t="s">
        <v>109</v>
      </c>
      <c r="L603" s="16" t="s">
        <v>90</v>
      </c>
    </row>
    <row r="604" spans="1:13" ht="60" x14ac:dyDescent="0.25">
      <c r="A604" s="11" t="s">
        <v>744</v>
      </c>
      <c r="B604" s="11" t="s">
        <v>1219</v>
      </c>
      <c r="C604" s="83" t="s">
        <v>1245</v>
      </c>
      <c r="D604" s="73" t="s">
        <v>1246</v>
      </c>
      <c r="E604" s="11">
        <v>13.8</v>
      </c>
      <c r="F604" s="69" t="s">
        <v>848</v>
      </c>
      <c r="G604" s="13" t="s">
        <v>848</v>
      </c>
      <c r="H604" s="69" t="s">
        <v>848</v>
      </c>
      <c r="I604" s="43" t="s">
        <v>1247</v>
      </c>
      <c r="J604" s="13"/>
      <c r="K604" s="16"/>
      <c r="L604" s="16"/>
    </row>
    <row r="605" spans="1:13" ht="60" x14ac:dyDescent="0.25">
      <c r="A605" s="11" t="s">
        <v>744</v>
      </c>
      <c r="B605" s="11" t="s">
        <v>1219</v>
      </c>
      <c r="C605" s="68" t="s">
        <v>1248</v>
      </c>
      <c r="D605" s="9" t="s">
        <v>1249</v>
      </c>
      <c r="E605" s="9">
        <v>34.5</v>
      </c>
      <c r="F605" s="69">
        <f>11988*0.87</f>
        <v>10429.56</v>
      </c>
      <c r="G605" s="16" t="s">
        <v>1093</v>
      </c>
      <c r="H605" s="69">
        <v>10</v>
      </c>
      <c r="I605" s="70" t="s">
        <v>1250</v>
      </c>
      <c r="J605" s="13" t="s">
        <v>114</v>
      </c>
      <c r="K605" s="16" t="s">
        <v>89</v>
      </c>
      <c r="L605" s="16" t="s">
        <v>90</v>
      </c>
    </row>
    <row r="606" spans="1:13" ht="45" x14ac:dyDescent="0.25">
      <c r="A606" s="11" t="s">
        <v>744</v>
      </c>
      <c r="B606" s="11" t="s">
        <v>1219</v>
      </c>
      <c r="C606" s="68" t="s">
        <v>1251</v>
      </c>
      <c r="D606" s="9" t="s">
        <v>1252</v>
      </c>
      <c r="E606" s="9">
        <v>34.5</v>
      </c>
      <c r="F606" s="69">
        <f>3535*0.87</f>
        <v>3075.45</v>
      </c>
      <c r="G606" s="16" t="s">
        <v>1093</v>
      </c>
      <c r="H606" s="75">
        <v>5</v>
      </c>
      <c r="I606" s="76" t="s">
        <v>1253</v>
      </c>
      <c r="J606" s="77" t="s">
        <v>114</v>
      </c>
      <c r="K606" s="16" t="s">
        <v>89</v>
      </c>
      <c r="L606" s="16" t="s">
        <v>90</v>
      </c>
    </row>
    <row r="607" spans="1:13" ht="60" x14ac:dyDescent="0.25">
      <c r="A607" s="11" t="s">
        <v>744</v>
      </c>
      <c r="B607" s="11" t="s">
        <v>1219</v>
      </c>
      <c r="C607" s="68" t="s">
        <v>1254</v>
      </c>
      <c r="D607" s="9" t="s">
        <v>1255</v>
      </c>
      <c r="E607" s="9">
        <v>34.5</v>
      </c>
      <c r="F607" s="69">
        <f>8375*0.87</f>
        <v>7286.25</v>
      </c>
      <c r="G607" s="16" t="s">
        <v>1093</v>
      </c>
      <c r="H607" s="69">
        <v>10</v>
      </c>
      <c r="I607" s="70" t="s">
        <v>1256</v>
      </c>
      <c r="J607" s="13" t="s">
        <v>114</v>
      </c>
      <c r="K607" s="16" t="s">
        <v>89</v>
      </c>
      <c r="L607" s="16" t="s">
        <v>90</v>
      </c>
    </row>
    <row r="608" spans="1:13" ht="60" x14ac:dyDescent="0.25">
      <c r="A608" s="11" t="s">
        <v>744</v>
      </c>
      <c r="B608" s="11" t="s">
        <v>1219</v>
      </c>
      <c r="C608" s="68" t="s">
        <v>1257</v>
      </c>
      <c r="D608" s="9" t="s">
        <v>1258</v>
      </c>
      <c r="E608" s="9">
        <v>34.5</v>
      </c>
      <c r="F608" s="69">
        <f>6250*0.87</f>
        <v>5437.5</v>
      </c>
      <c r="G608" s="16" t="s">
        <v>1093</v>
      </c>
      <c r="H608" s="69">
        <v>10</v>
      </c>
      <c r="I608" s="70" t="s">
        <v>1259</v>
      </c>
      <c r="J608" s="13" t="s">
        <v>114</v>
      </c>
      <c r="K608" s="16" t="s">
        <v>89</v>
      </c>
      <c r="L608" s="16" t="s">
        <v>90</v>
      </c>
    </row>
    <row r="609" spans="1:12" ht="45" x14ac:dyDescent="0.25">
      <c r="A609" s="11" t="s">
        <v>744</v>
      </c>
      <c r="B609" s="11" t="s">
        <v>1219</v>
      </c>
      <c r="C609" s="68" t="s">
        <v>1257</v>
      </c>
      <c r="D609" s="9" t="s">
        <v>1258</v>
      </c>
      <c r="E609" s="9">
        <v>34.5</v>
      </c>
      <c r="F609" s="69">
        <f>5733*0.87</f>
        <v>4987.71</v>
      </c>
      <c r="G609" s="16" t="s">
        <v>1226</v>
      </c>
      <c r="H609" s="69">
        <v>10</v>
      </c>
      <c r="I609" s="70" t="s">
        <v>1260</v>
      </c>
      <c r="J609" s="13" t="s">
        <v>114</v>
      </c>
      <c r="K609" s="16" t="s">
        <v>89</v>
      </c>
      <c r="L609" s="16" t="s">
        <v>90</v>
      </c>
    </row>
    <row r="610" spans="1:12" ht="45" x14ac:dyDescent="0.25">
      <c r="A610" s="11" t="s">
        <v>744</v>
      </c>
      <c r="B610" s="11" t="s">
        <v>1219</v>
      </c>
      <c r="C610" s="68" t="s">
        <v>1261</v>
      </c>
      <c r="D610" s="9" t="s">
        <v>1262</v>
      </c>
      <c r="E610" s="9">
        <v>34.5</v>
      </c>
      <c r="F610" s="69">
        <f>10303*0.87</f>
        <v>8963.61</v>
      </c>
      <c r="G610" s="16" t="s">
        <v>1093</v>
      </c>
      <c r="H610" s="69">
        <v>10</v>
      </c>
      <c r="I610" s="70" t="s">
        <v>1263</v>
      </c>
      <c r="J610" s="13" t="s">
        <v>88</v>
      </c>
      <c r="K610" s="16" t="s">
        <v>89</v>
      </c>
      <c r="L610" s="16" t="s">
        <v>90</v>
      </c>
    </row>
    <row r="611" spans="1:12" ht="45" x14ac:dyDescent="0.25">
      <c r="A611" s="11" t="s">
        <v>744</v>
      </c>
      <c r="B611" s="11" t="s">
        <v>1219</v>
      </c>
      <c r="C611" s="68" t="s">
        <v>1261</v>
      </c>
      <c r="D611" s="9" t="s">
        <v>1262</v>
      </c>
      <c r="E611" s="9">
        <v>34.5</v>
      </c>
      <c r="F611" s="69">
        <f>5733*0.87</f>
        <v>4987.71</v>
      </c>
      <c r="G611" s="16" t="s">
        <v>1226</v>
      </c>
      <c r="H611" s="78" t="s">
        <v>1264</v>
      </c>
      <c r="I611" s="70" t="s">
        <v>1265</v>
      </c>
      <c r="J611" s="13" t="s">
        <v>88</v>
      </c>
      <c r="K611" s="16" t="s">
        <v>89</v>
      </c>
      <c r="L611" s="16" t="s">
        <v>90</v>
      </c>
    </row>
    <row r="612" spans="1:12" ht="45" x14ac:dyDescent="0.25">
      <c r="A612" s="11" t="s">
        <v>744</v>
      </c>
      <c r="B612" s="11" t="s">
        <v>1219</v>
      </c>
      <c r="C612" s="74" t="s">
        <v>1266</v>
      </c>
      <c r="D612" s="9" t="s">
        <v>1267</v>
      </c>
      <c r="E612" s="9">
        <v>34.5</v>
      </c>
      <c r="F612" s="69" t="s">
        <v>848</v>
      </c>
      <c r="G612" s="13" t="s">
        <v>848</v>
      </c>
      <c r="H612" s="69" t="s">
        <v>848</v>
      </c>
      <c r="I612" s="43" t="s">
        <v>1268</v>
      </c>
      <c r="J612" s="13"/>
      <c r="K612" s="16" t="s">
        <v>109</v>
      </c>
      <c r="L612" s="16"/>
    </row>
    <row r="613" spans="1:12" ht="45" x14ac:dyDescent="0.25">
      <c r="A613" s="11" t="s">
        <v>744</v>
      </c>
      <c r="B613" s="11" t="s">
        <v>1219</v>
      </c>
      <c r="C613" s="82" t="s">
        <v>1269</v>
      </c>
      <c r="D613" s="73" t="s">
        <v>1270</v>
      </c>
      <c r="E613" s="11">
        <v>13.8</v>
      </c>
      <c r="F613" s="69">
        <f>13448*0.87</f>
        <v>11699.76</v>
      </c>
      <c r="G613" s="13" t="s">
        <v>848</v>
      </c>
      <c r="H613" s="69" t="s">
        <v>848</v>
      </c>
      <c r="I613" s="43" t="s">
        <v>1271</v>
      </c>
      <c r="J613" s="13"/>
      <c r="K613" s="16"/>
      <c r="L613" s="16"/>
    </row>
    <row r="614" spans="1:12" ht="60" x14ac:dyDescent="0.25">
      <c r="A614" s="11" t="s">
        <v>744</v>
      </c>
      <c r="B614" s="11" t="s">
        <v>1219</v>
      </c>
      <c r="C614" s="68" t="s">
        <v>1272</v>
      </c>
      <c r="D614" s="9" t="s">
        <v>1273</v>
      </c>
      <c r="E614" s="9">
        <v>34.5</v>
      </c>
      <c r="F614" s="79">
        <f>13270*0.87</f>
        <v>11544.9</v>
      </c>
      <c r="G614" s="16" t="s">
        <v>1093</v>
      </c>
      <c r="H614" s="69">
        <v>10</v>
      </c>
      <c r="I614" s="80" t="s">
        <v>1274</v>
      </c>
      <c r="J614" s="13" t="s">
        <v>114</v>
      </c>
      <c r="K614" s="16"/>
      <c r="L614" s="16" t="s">
        <v>90</v>
      </c>
    </row>
    <row r="615" spans="1:12" ht="75" x14ac:dyDescent="0.25">
      <c r="A615" s="11"/>
      <c r="B615" s="11"/>
      <c r="C615" s="68" t="s">
        <v>1272</v>
      </c>
      <c r="D615" s="9" t="s">
        <v>1273</v>
      </c>
      <c r="E615" s="9">
        <v>35.5</v>
      </c>
      <c r="F615" s="79" t="s">
        <v>848</v>
      </c>
      <c r="G615" s="16" t="s">
        <v>1275</v>
      </c>
      <c r="H615" s="69">
        <v>5</v>
      </c>
      <c r="I615" s="80" t="s">
        <v>1276</v>
      </c>
      <c r="J615" s="13" t="s">
        <v>88</v>
      </c>
      <c r="K615" s="16" t="s">
        <v>109</v>
      </c>
      <c r="L615" s="16" t="s">
        <v>93</v>
      </c>
    </row>
    <row r="616" spans="1:12" ht="60" x14ac:dyDescent="0.25">
      <c r="A616" s="11" t="s">
        <v>744</v>
      </c>
      <c r="B616" s="11" t="s">
        <v>1219</v>
      </c>
      <c r="C616" s="68" t="s">
        <v>1277</v>
      </c>
      <c r="D616" s="9" t="s">
        <v>1278</v>
      </c>
      <c r="E616" s="9">
        <v>34.5</v>
      </c>
      <c r="F616" s="69">
        <f>8410*0.87</f>
        <v>7316.7</v>
      </c>
      <c r="G616" s="16" t="s">
        <v>1093</v>
      </c>
      <c r="H616" s="69">
        <v>10</v>
      </c>
      <c r="I616" s="70" t="s">
        <v>1279</v>
      </c>
      <c r="J616" s="13" t="s">
        <v>114</v>
      </c>
      <c r="K616" s="16" t="s">
        <v>89</v>
      </c>
      <c r="L616" s="16" t="s">
        <v>90</v>
      </c>
    </row>
    <row r="617" spans="1:12" ht="45" x14ac:dyDescent="0.25">
      <c r="A617" s="11" t="s">
        <v>744</v>
      </c>
      <c r="B617" s="11" t="s">
        <v>1219</v>
      </c>
      <c r="C617" s="68" t="s">
        <v>884</v>
      </c>
      <c r="D617" s="9" t="s">
        <v>1280</v>
      </c>
      <c r="E617" s="9">
        <v>34.5</v>
      </c>
      <c r="F617" s="69">
        <f>8965*0.87</f>
        <v>7799.55</v>
      </c>
      <c r="G617" s="16" t="s">
        <v>1093</v>
      </c>
      <c r="H617" s="69">
        <v>6</v>
      </c>
      <c r="I617" s="70" t="s">
        <v>1281</v>
      </c>
      <c r="J617" s="13" t="s">
        <v>88</v>
      </c>
      <c r="K617" s="16" t="s">
        <v>89</v>
      </c>
      <c r="L617" s="16" t="s">
        <v>90</v>
      </c>
    </row>
    <row r="618" spans="1:12" ht="45" x14ac:dyDescent="0.25">
      <c r="A618" s="11" t="s">
        <v>744</v>
      </c>
      <c r="B618" s="11" t="s">
        <v>1219</v>
      </c>
      <c r="C618" s="68" t="s">
        <v>1282</v>
      </c>
      <c r="D618" s="9" t="s">
        <v>1283</v>
      </c>
      <c r="E618" s="9">
        <v>34.5</v>
      </c>
      <c r="F618" s="69">
        <f>10290*0.87</f>
        <v>8952.2999999999993</v>
      </c>
      <c r="G618" s="16" t="s">
        <v>1093</v>
      </c>
      <c r="H618" s="69">
        <v>10</v>
      </c>
      <c r="I618" s="70" t="s">
        <v>1284</v>
      </c>
      <c r="J618" s="13" t="s">
        <v>88</v>
      </c>
      <c r="K618" s="16"/>
      <c r="L618" s="16"/>
    </row>
    <row r="619" spans="1:12" ht="60" x14ac:dyDescent="0.25">
      <c r="A619" s="11" t="s">
        <v>744</v>
      </c>
      <c r="B619" s="11" t="s">
        <v>1219</v>
      </c>
      <c r="C619" s="68" t="s">
        <v>777</v>
      </c>
      <c r="D619" s="9" t="s">
        <v>1285</v>
      </c>
      <c r="E619" s="9">
        <v>34.5</v>
      </c>
      <c r="F619" s="69">
        <f>14128*0.87</f>
        <v>12291.36</v>
      </c>
      <c r="G619" s="16" t="s">
        <v>1093</v>
      </c>
      <c r="H619" s="69">
        <v>10</v>
      </c>
      <c r="I619" s="70" t="s">
        <v>1286</v>
      </c>
      <c r="J619" s="13" t="s">
        <v>88</v>
      </c>
      <c r="K619" s="16"/>
      <c r="L619" s="16"/>
    </row>
    <row r="620" spans="1:12" ht="60" x14ac:dyDescent="0.25">
      <c r="A620" s="11" t="s">
        <v>744</v>
      </c>
      <c r="B620" s="11" t="s">
        <v>1219</v>
      </c>
      <c r="C620" s="68" t="s">
        <v>1287</v>
      </c>
      <c r="D620" s="9" t="s">
        <v>1288</v>
      </c>
      <c r="E620" s="9">
        <v>34.5</v>
      </c>
      <c r="F620" s="69">
        <f>6338*0.87</f>
        <v>5514.06</v>
      </c>
      <c r="G620" s="16" t="s">
        <v>1093</v>
      </c>
      <c r="H620" s="69">
        <v>5</v>
      </c>
      <c r="I620" s="70" t="s">
        <v>1289</v>
      </c>
      <c r="J620" s="13" t="s">
        <v>88</v>
      </c>
      <c r="K620" s="16" t="s">
        <v>89</v>
      </c>
      <c r="L620" s="16" t="s">
        <v>90</v>
      </c>
    </row>
    <row r="621" spans="1:12" ht="45" x14ac:dyDescent="0.25">
      <c r="A621" s="11" t="s">
        <v>744</v>
      </c>
      <c r="B621" s="11" t="s">
        <v>1219</v>
      </c>
      <c r="C621" s="68" t="s">
        <v>1290</v>
      </c>
      <c r="D621" s="9" t="s">
        <v>1291</v>
      </c>
      <c r="E621" s="9">
        <v>34.5</v>
      </c>
      <c r="F621" s="69">
        <f>15253*0.87</f>
        <v>13270.11</v>
      </c>
      <c r="G621" s="16" t="s">
        <v>1093</v>
      </c>
      <c r="H621" s="69">
        <v>8</v>
      </c>
      <c r="I621" s="70" t="s">
        <v>1292</v>
      </c>
      <c r="J621" s="13" t="s">
        <v>88</v>
      </c>
      <c r="K621" s="16" t="s">
        <v>89</v>
      </c>
      <c r="L621" s="16" t="s">
        <v>90</v>
      </c>
    </row>
    <row r="622" spans="1:12" ht="45" x14ac:dyDescent="0.25">
      <c r="A622" s="11" t="s">
        <v>744</v>
      </c>
      <c r="B622" s="11" t="s">
        <v>1219</v>
      </c>
      <c r="C622" s="68" t="s">
        <v>1293</v>
      </c>
      <c r="D622" s="9" t="s">
        <v>1294</v>
      </c>
      <c r="E622" s="9">
        <v>34.5</v>
      </c>
      <c r="F622" s="69">
        <f>7423*0.87</f>
        <v>6458.01</v>
      </c>
      <c r="G622" s="16" t="s">
        <v>1093</v>
      </c>
      <c r="H622" s="69">
        <v>10</v>
      </c>
      <c r="I622" s="70" t="s">
        <v>1295</v>
      </c>
      <c r="J622" s="13" t="s">
        <v>114</v>
      </c>
      <c r="K622" s="16" t="s">
        <v>89</v>
      </c>
      <c r="L622" s="16" t="s">
        <v>90</v>
      </c>
    </row>
    <row r="623" spans="1:12" ht="60" x14ac:dyDescent="0.25">
      <c r="A623" s="11" t="s">
        <v>744</v>
      </c>
      <c r="B623" s="11" t="s">
        <v>1219</v>
      </c>
      <c r="C623" s="81" t="s">
        <v>1296</v>
      </c>
      <c r="D623" s="9" t="s">
        <v>1297</v>
      </c>
      <c r="E623" s="9">
        <v>34.5</v>
      </c>
      <c r="F623" s="69">
        <f>12073*0.87</f>
        <v>10503.51</v>
      </c>
      <c r="G623" s="13" t="s">
        <v>1275</v>
      </c>
      <c r="H623" s="69">
        <v>15</v>
      </c>
      <c r="I623" s="70" t="s">
        <v>1298</v>
      </c>
      <c r="J623" s="13" t="s">
        <v>114</v>
      </c>
      <c r="K623" s="16" t="s">
        <v>89</v>
      </c>
      <c r="L623" s="16" t="s">
        <v>93</v>
      </c>
    </row>
    <row r="624" spans="1:12" ht="30" x14ac:dyDescent="0.25">
      <c r="A624" s="11" t="s">
        <v>744</v>
      </c>
      <c r="B624" s="11" t="s">
        <v>1219</v>
      </c>
      <c r="C624" s="81" t="s">
        <v>1299</v>
      </c>
      <c r="D624" s="73" t="s">
        <v>1300</v>
      </c>
      <c r="E624" s="11">
        <v>13.8</v>
      </c>
      <c r="F624" s="69">
        <f>18283*0.87</f>
        <v>15906.21</v>
      </c>
      <c r="G624" s="13" t="s">
        <v>848</v>
      </c>
      <c r="H624" s="69" t="s">
        <v>848</v>
      </c>
      <c r="I624" s="43" t="s">
        <v>1301</v>
      </c>
      <c r="J624" s="13"/>
      <c r="K624" s="16"/>
      <c r="L624" s="16"/>
    </row>
    <row r="625" spans="1:13" s="84" customFormat="1" ht="21" customHeight="1" x14ac:dyDescent="0.25">
      <c r="A625" s="11" t="s">
        <v>445</v>
      </c>
      <c r="B625" s="11" t="s">
        <v>148</v>
      </c>
      <c r="C625" s="12" t="s">
        <v>717</v>
      </c>
      <c r="D625" s="9" t="s">
        <v>718</v>
      </c>
      <c r="E625" s="9">
        <v>34.5</v>
      </c>
      <c r="F625" s="21">
        <v>0</v>
      </c>
      <c r="G625" s="16" t="s">
        <v>719</v>
      </c>
      <c r="H625" s="13">
        <v>0</v>
      </c>
      <c r="I625" s="13" t="s">
        <v>720</v>
      </c>
      <c r="J625" s="13" t="s">
        <v>88</v>
      </c>
      <c r="K625" s="16"/>
      <c r="L625" s="16"/>
    </row>
    <row r="626" spans="1:13" s="84" customFormat="1" ht="21" customHeight="1" x14ac:dyDescent="0.25">
      <c r="A626" s="11" t="s">
        <v>445</v>
      </c>
      <c r="B626" s="11" t="s">
        <v>148</v>
      </c>
      <c r="C626" s="12" t="s">
        <v>721</v>
      </c>
      <c r="D626" s="9" t="s">
        <v>722</v>
      </c>
      <c r="E626" s="9">
        <v>34.5</v>
      </c>
      <c r="F626" s="21">
        <v>10</v>
      </c>
      <c r="G626" s="16"/>
      <c r="H626" s="13">
        <v>10</v>
      </c>
      <c r="I626" s="13" t="s">
        <v>723</v>
      </c>
      <c r="J626" s="13" t="s">
        <v>114</v>
      </c>
      <c r="K626" s="16" t="s">
        <v>89</v>
      </c>
      <c r="L626" s="16" t="s">
        <v>90</v>
      </c>
      <c r="M626" s="64" t="s">
        <v>1326</v>
      </c>
    </row>
    <row r="627" spans="1:13" s="84" customFormat="1" ht="21" customHeight="1" x14ac:dyDescent="0.25">
      <c r="A627" s="11" t="s">
        <v>445</v>
      </c>
      <c r="B627" s="11" t="s">
        <v>148</v>
      </c>
      <c r="C627" s="12" t="s">
        <v>724</v>
      </c>
      <c r="D627" s="9" t="s">
        <v>725</v>
      </c>
      <c r="E627" s="9">
        <v>34.5</v>
      </c>
      <c r="F627" s="21">
        <v>10</v>
      </c>
      <c r="G627" s="16"/>
      <c r="H627" s="13">
        <v>10</v>
      </c>
      <c r="I627" s="13" t="s">
        <v>723</v>
      </c>
      <c r="J627" s="13" t="s">
        <v>114</v>
      </c>
      <c r="K627" s="16" t="s">
        <v>89</v>
      </c>
      <c r="L627" s="16" t="s">
        <v>90</v>
      </c>
      <c r="M627" s="64" t="s">
        <v>1326</v>
      </c>
    </row>
    <row r="628" spans="1:13" s="84" customFormat="1" ht="21" customHeight="1" x14ac:dyDescent="0.25">
      <c r="A628" s="11" t="s">
        <v>445</v>
      </c>
      <c r="B628" s="11" t="s">
        <v>148</v>
      </c>
      <c r="C628" s="12" t="s">
        <v>726</v>
      </c>
      <c r="D628" s="9" t="s">
        <v>727</v>
      </c>
      <c r="E628" s="9">
        <v>34.5</v>
      </c>
      <c r="F628" s="21">
        <v>10</v>
      </c>
      <c r="G628" s="16"/>
      <c r="H628" s="13">
        <v>10</v>
      </c>
      <c r="I628" s="13" t="s">
        <v>723</v>
      </c>
      <c r="J628" s="13" t="s">
        <v>114</v>
      </c>
      <c r="K628" s="16" t="s">
        <v>89</v>
      </c>
      <c r="L628" s="16" t="s">
        <v>90</v>
      </c>
      <c r="M628" s="64" t="s">
        <v>1326</v>
      </c>
    </row>
    <row r="629" spans="1:13" s="84" customFormat="1" ht="21" customHeight="1" x14ac:dyDescent="0.25">
      <c r="A629" s="11" t="s">
        <v>445</v>
      </c>
      <c r="B629" s="11" t="s">
        <v>148</v>
      </c>
      <c r="C629" s="12" t="s">
        <v>728</v>
      </c>
      <c r="D629" s="9" t="s">
        <v>729</v>
      </c>
      <c r="E629" s="9">
        <v>34.5</v>
      </c>
      <c r="F629" s="21">
        <v>10</v>
      </c>
      <c r="G629" s="16"/>
      <c r="H629" s="13">
        <v>10</v>
      </c>
      <c r="I629" s="13" t="s">
        <v>723</v>
      </c>
      <c r="J629" s="13" t="s">
        <v>88</v>
      </c>
      <c r="K629" s="16" t="s">
        <v>109</v>
      </c>
      <c r="L629" s="16" t="s">
        <v>90</v>
      </c>
      <c r="M629" s="64" t="s">
        <v>1326</v>
      </c>
    </row>
    <row r="630" spans="1:13" s="84" customFormat="1" ht="21" customHeight="1" x14ac:dyDescent="0.25">
      <c r="A630" s="11" t="s">
        <v>445</v>
      </c>
      <c r="B630" s="11" t="s">
        <v>148</v>
      </c>
      <c r="C630" s="12" t="s">
        <v>730</v>
      </c>
      <c r="D630" s="9" t="s">
        <v>731</v>
      </c>
      <c r="E630" s="9">
        <v>34.5</v>
      </c>
      <c r="F630" s="21">
        <v>5</v>
      </c>
      <c r="G630" s="16"/>
      <c r="H630" s="13">
        <v>5</v>
      </c>
      <c r="I630" s="13" t="s">
        <v>723</v>
      </c>
      <c r="J630" s="13" t="s">
        <v>88</v>
      </c>
      <c r="K630" s="16" t="s">
        <v>89</v>
      </c>
      <c r="L630" s="16" t="s">
        <v>90</v>
      </c>
      <c r="M630" s="64" t="s">
        <v>1326</v>
      </c>
    </row>
    <row r="631" spans="1:13" s="84" customFormat="1" ht="21" customHeight="1" x14ac:dyDescent="0.25">
      <c r="A631" s="11" t="s">
        <v>445</v>
      </c>
      <c r="B631" s="11" t="s">
        <v>148</v>
      </c>
      <c r="C631" s="12" t="s">
        <v>43</v>
      </c>
      <c r="D631" s="9" t="s">
        <v>732</v>
      </c>
      <c r="E631" s="9">
        <v>34.5</v>
      </c>
      <c r="F631" s="21">
        <v>20</v>
      </c>
      <c r="G631" s="37"/>
      <c r="H631" s="13">
        <v>10</v>
      </c>
      <c r="I631" s="13" t="s">
        <v>723</v>
      </c>
      <c r="J631" s="13" t="s">
        <v>88</v>
      </c>
      <c r="K631" s="16" t="s">
        <v>89</v>
      </c>
      <c r="L631" s="16" t="s">
        <v>93</v>
      </c>
      <c r="M631" s="64" t="s">
        <v>1326</v>
      </c>
    </row>
    <row r="632" spans="1:13" s="84" customFormat="1" ht="21" customHeight="1" x14ac:dyDescent="0.25">
      <c r="A632" s="11" t="s">
        <v>445</v>
      </c>
      <c r="B632" s="11" t="s">
        <v>148</v>
      </c>
      <c r="C632" s="12" t="s">
        <v>43</v>
      </c>
      <c r="D632" s="9" t="s">
        <v>732</v>
      </c>
      <c r="E632" s="9">
        <v>34.5</v>
      </c>
      <c r="F632" s="21">
        <v>20</v>
      </c>
      <c r="G632" s="37"/>
      <c r="H632" s="13">
        <v>10</v>
      </c>
      <c r="I632" s="13" t="s">
        <v>723</v>
      </c>
      <c r="J632" s="13" t="s">
        <v>88</v>
      </c>
      <c r="K632" s="16" t="s">
        <v>89</v>
      </c>
      <c r="L632" s="16" t="s">
        <v>90</v>
      </c>
      <c r="M632" s="64" t="s">
        <v>1326</v>
      </c>
    </row>
    <row r="633" spans="1:13" s="84" customFormat="1" ht="21" customHeight="1" x14ac:dyDescent="0.25">
      <c r="A633" s="11" t="s">
        <v>445</v>
      </c>
      <c r="B633" s="11" t="s">
        <v>148</v>
      </c>
      <c r="C633" s="12" t="s">
        <v>43</v>
      </c>
      <c r="D633" s="9" t="s">
        <v>732</v>
      </c>
      <c r="E633" s="9">
        <v>34.5</v>
      </c>
      <c r="F633" s="21">
        <v>20</v>
      </c>
      <c r="G633" s="37"/>
      <c r="H633" s="13">
        <v>10</v>
      </c>
      <c r="I633" s="13" t="s">
        <v>723</v>
      </c>
      <c r="J633" s="13" t="s">
        <v>88</v>
      </c>
      <c r="K633" s="16" t="s">
        <v>109</v>
      </c>
      <c r="L633" s="16" t="s">
        <v>90</v>
      </c>
      <c r="M633" s="64" t="s">
        <v>1326</v>
      </c>
    </row>
    <row r="634" spans="1:13" s="84" customFormat="1" ht="50.1" customHeight="1" x14ac:dyDescent="0.25">
      <c r="A634" s="11" t="s">
        <v>445</v>
      </c>
      <c r="B634" s="11" t="s">
        <v>148</v>
      </c>
      <c r="C634" s="12" t="s">
        <v>733</v>
      </c>
      <c r="D634" s="9" t="s">
        <v>734</v>
      </c>
      <c r="E634" s="9">
        <v>34.5</v>
      </c>
      <c r="F634" s="21">
        <v>10</v>
      </c>
      <c r="G634" s="16"/>
      <c r="H634" s="13">
        <v>10</v>
      </c>
      <c r="I634" s="13" t="s">
        <v>723</v>
      </c>
      <c r="J634" s="13" t="s">
        <v>114</v>
      </c>
      <c r="K634" s="16" t="s">
        <v>89</v>
      </c>
      <c r="L634" s="16" t="s">
        <v>90</v>
      </c>
      <c r="M634" s="64" t="s">
        <v>1326</v>
      </c>
    </row>
    <row r="635" spans="1:13" s="84" customFormat="1" ht="50.1" customHeight="1" x14ac:dyDescent="0.25">
      <c r="A635" s="11" t="s">
        <v>445</v>
      </c>
      <c r="B635" s="11" t="s">
        <v>148</v>
      </c>
      <c r="C635" s="12" t="s">
        <v>735</v>
      </c>
      <c r="D635" s="9" t="s">
        <v>736</v>
      </c>
      <c r="E635" s="9">
        <v>34.5</v>
      </c>
      <c r="F635" s="21">
        <v>5</v>
      </c>
      <c r="G635" s="16"/>
      <c r="H635" s="13">
        <v>5</v>
      </c>
      <c r="I635" s="13" t="s">
        <v>723</v>
      </c>
      <c r="J635" s="13" t="s">
        <v>88</v>
      </c>
      <c r="K635" s="16" t="s">
        <v>89</v>
      </c>
      <c r="L635" s="16" t="s">
        <v>90</v>
      </c>
      <c r="M635" s="64" t="s">
        <v>1326</v>
      </c>
    </row>
    <row r="636" spans="1:13" s="84" customFormat="1" ht="75.95" customHeight="1" x14ac:dyDescent="0.25">
      <c r="A636" s="11" t="s">
        <v>445</v>
      </c>
      <c r="B636" s="11" t="s">
        <v>148</v>
      </c>
      <c r="C636" s="12" t="s">
        <v>737</v>
      </c>
      <c r="D636" s="9" t="s">
        <v>738</v>
      </c>
      <c r="E636" s="9">
        <v>34.5</v>
      </c>
      <c r="F636" s="21">
        <v>10</v>
      </c>
      <c r="G636" s="16"/>
      <c r="H636" s="13">
        <v>10</v>
      </c>
      <c r="I636" s="13" t="s">
        <v>723</v>
      </c>
      <c r="J636" s="13" t="s">
        <v>114</v>
      </c>
      <c r="K636" s="16" t="s">
        <v>89</v>
      </c>
      <c r="L636" s="16" t="s">
        <v>90</v>
      </c>
      <c r="M636" s="64" t="s">
        <v>1326</v>
      </c>
    </row>
    <row r="637" spans="1:13" s="84" customFormat="1" ht="50.1" customHeight="1" x14ac:dyDescent="0.25">
      <c r="A637" s="11" t="s">
        <v>445</v>
      </c>
      <c r="B637" s="11" t="s">
        <v>148</v>
      </c>
      <c r="C637" s="12" t="s">
        <v>739</v>
      </c>
      <c r="D637" s="9" t="s">
        <v>740</v>
      </c>
      <c r="E637" s="9">
        <v>34.5</v>
      </c>
      <c r="F637" s="21">
        <v>20</v>
      </c>
      <c r="G637" s="16"/>
      <c r="H637" s="13">
        <v>10</v>
      </c>
      <c r="I637" s="13" t="s">
        <v>723</v>
      </c>
      <c r="J637" s="13" t="s">
        <v>88</v>
      </c>
      <c r="K637" s="16" t="s">
        <v>89</v>
      </c>
      <c r="L637" s="16" t="s">
        <v>90</v>
      </c>
      <c r="M637" s="64" t="s">
        <v>1326</v>
      </c>
    </row>
    <row r="638" spans="1:13" s="84" customFormat="1" ht="50.1" customHeight="1" x14ac:dyDescent="0.25">
      <c r="A638" s="11" t="s">
        <v>445</v>
      </c>
      <c r="B638" s="11" t="s">
        <v>148</v>
      </c>
      <c r="C638" s="12" t="s">
        <v>739</v>
      </c>
      <c r="D638" s="9" t="s">
        <v>740</v>
      </c>
      <c r="E638" s="9">
        <v>34.5</v>
      </c>
      <c r="F638" s="21">
        <v>20</v>
      </c>
      <c r="G638" s="13"/>
      <c r="H638" s="13">
        <v>10</v>
      </c>
      <c r="I638" s="13" t="s">
        <v>723</v>
      </c>
      <c r="J638" s="13" t="s">
        <v>88</v>
      </c>
      <c r="K638" s="16" t="s">
        <v>109</v>
      </c>
      <c r="L638" s="16" t="s">
        <v>90</v>
      </c>
      <c r="M638" s="64" t="s">
        <v>1326</v>
      </c>
    </row>
    <row r="639" spans="1:13" s="84" customFormat="1" ht="50.1" customHeight="1" x14ac:dyDescent="0.25">
      <c r="A639" s="11" t="s">
        <v>445</v>
      </c>
      <c r="B639" s="11" t="s">
        <v>148</v>
      </c>
      <c r="C639" s="12" t="s">
        <v>741</v>
      </c>
      <c r="D639" s="9" t="s">
        <v>742</v>
      </c>
      <c r="E639" s="9">
        <v>34.5</v>
      </c>
      <c r="F639" s="21">
        <v>0</v>
      </c>
      <c r="G639" s="16" t="s">
        <v>719</v>
      </c>
      <c r="H639" s="13">
        <v>0</v>
      </c>
      <c r="I639" s="13" t="s">
        <v>720</v>
      </c>
      <c r="J639" s="13" t="s">
        <v>88</v>
      </c>
      <c r="K639" s="16"/>
      <c r="L639" s="16"/>
      <c r="M639" s="64" t="s">
        <v>1326</v>
      </c>
    </row>
    <row r="640" spans="1:13" s="84" customFormat="1" ht="50.1" customHeight="1" x14ac:dyDescent="0.25">
      <c r="A640" s="11" t="s">
        <v>445</v>
      </c>
      <c r="B640" s="11" t="s">
        <v>148</v>
      </c>
      <c r="C640" s="12" t="s">
        <v>741</v>
      </c>
      <c r="D640" s="9" t="s">
        <v>742</v>
      </c>
      <c r="E640" s="9">
        <v>34.5</v>
      </c>
      <c r="F640" s="21">
        <v>0</v>
      </c>
      <c r="G640" s="16" t="s">
        <v>719</v>
      </c>
      <c r="H640" s="13">
        <v>0</v>
      </c>
      <c r="I640" s="13" t="s">
        <v>720</v>
      </c>
      <c r="J640" s="13" t="s">
        <v>88</v>
      </c>
      <c r="K640" s="16"/>
      <c r="L640" s="16"/>
      <c r="M640" s="64" t="s">
        <v>1326</v>
      </c>
    </row>
    <row r="641" spans="1:13" s="84" customFormat="1" ht="50.1" customHeight="1" x14ac:dyDescent="0.25">
      <c r="A641" s="11" t="s">
        <v>445</v>
      </c>
      <c r="B641" s="11" t="s">
        <v>148</v>
      </c>
      <c r="C641" s="12" t="s">
        <v>44</v>
      </c>
      <c r="D641" s="9" t="s">
        <v>743</v>
      </c>
      <c r="E641" s="9">
        <v>34.5</v>
      </c>
      <c r="F641" s="21">
        <v>35</v>
      </c>
      <c r="G641" s="16"/>
      <c r="H641" s="13">
        <v>5</v>
      </c>
      <c r="I641" s="13" t="s">
        <v>723</v>
      </c>
      <c r="J641" s="13" t="s">
        <v>114</v>
      </c>
      <c r="K641" s="16" t="s">
        <v>89</v>
      </c>
      <c r="L641" s="16" t="s">
        <v>90</v>
      </c>
      <c r="M641" s="64" t="s">
        <v>1326</v>
      </c>
    </row>
    <row r="642" spans="1:13" s="84" customFormat="1" ht="50.1" customHeight="1" x14ac:dyDescent="0.25">
      <c r="A642" s="11" t="s">
        <v>445</v>
      </c>
      <c r="B642" s="11" t="s">
        <v>148</v>
      </c>
      <c r="C642" s="12" t="s">
        <v>44</v>
      </c>
      <c r="D642" s="9" t="s">
        <v>743</v>
      </c>
      <c r="E642" s="9">
        <v>34.5</v>
      </c>
      <c r="F642" s="21">
        <v>35</v>
      </c>
      <c r="G642" s="13"/>
      <c r="H642" s="13">
        <v>10</v>
      </c>
      <c r="I642" s="13" t="s">
        <v>723</v>
      </c>
      <c r="J642" s="13" t="s">
        <v>114</v>
      </c>
      <c r="K642" s="16" t="s">
        <v>89</v>
      </c>
      <c r="L642" s="16" t="s">
        <v>90</v>
      </c>
      <c r="M642" s="64" t="s">
        <v>1326</v>
      </c>
    </row>
    <row r="643" spans="1:13" s="84" customFormat="1" ht="50.1" customHeight="1" x14ac:dyDescent="0.25">
      <c r="A643" s="11" t="s">
        <v>445</v>
      </c>
      <c r="B643" s="11" t="s">
        <v>148</v>
      </c>
      <c r="C643" s="12" t="s">
        <v>44</v>
      </c>
      <c r="D643" s="9" t="s">
        <v>743</v>
      </c>
      <c r="E643" s="9">
        <v>34.5</v>
      </c>
      <c r="F643" s="21">
        <v>35</v>
      </c>
      <c r="G643" s="13"/>
      <c r="H643" s="13">
        <v>10</v>
      </c>
      <c r="I643" s="13" t="s">
        <v>723</v>
      </c>
      <c r="J643" s="13" t="s">
        <v>114</v>
      </c>
      <c r="K643" s="16" t="s">
        <v>89</v>
      </c>
      <c r="L643" s="16" t="s">
        <v>90</v>
      </c>
      <c r="M643" s="64" t="s">
        <v>1326</v>
      </c>
    </row>
    <row r="644" spans="1:13" s="84" customFormat="1" ht="50.1" customHeight="1" x14ac:dyDescent="0.25">
      <c r="A644" s="11"/>
      <c r="B644" s="11" t="s">
        <v>148</v>
      </c>
      <c r="C644" s="12" t="s">
        <v>44</v>
      </c>
      <c r="D644" s="9" t="s">
        <v>743</v>
      </c>
      <c r="E644" s="9">
        <v>34.5</v>
      </c>
      <c r="F644" s="21">
        <v>35</v>
      </c>
      <c r="G644" s="13"/>
      <c r="H644" s="13">
        <v>10</v>
      </c>
      <c r="I644" s="13" t="s">
        <v>723</v>
      </c>
      <c r="J644" s="13" t="s">
        <v>88</v>
      </c>
      <c r="K644" s="16" t="s">
        <v>89</v>
      </c>
      <c r="L644" s="16" t="s">
        <v>93</v>
      </c>
      <c r="M644" s="64" t="s">
        <v>1326</v>
      </c>
    </row>
    <row r="645" spans="1:13" s="84" customFormat="1" ht="50.1" customHeight="1" x14ac:dyDescent="0.25">
      <c r="A645" s="11" t="s">
        <v>445</v>
      </c>
      <c r="B645" s="11" t="s">
        <v>148</v>
      </c>
      <c r="C645" s="12" t="s">
        <v>1302</v>
      </c>
      <c r="D645" s="9" t="s">
        <v>1303</v>
      </c>
      <c r="E645" s="9">
        <v>34.5</v>
      </c>
      <c r="F645" s="21">
        <v>0</v>
      </c>
      <c r="G645" s="16" t="s">
        <v>719</v>
      </c>
      <c r="H645" s="13">
        <v>0</v>
      </c>
      <c r="I645" s="13" t="s">
        <v>720</v>
      </c>
      <c r="J645" s="13" t="s">
        <v>88</v>
      </c>
      <c r="K645" s="16"/>
      <c r="L645" s="16"/>
      <c r="M645" s="64" t="s">
        <v>1326</v>
      </c>
    </row>
    <row r="646" spans="1:13" s="84" customFormat="1" ht="50.1" customHeight="1" x14ac:dyDescent="0.25">
      <c r="A646" s="11" t="s">
        <v>445</v>
      </c>
      <c r="B646" s="11" t="s">
        <v>148</v>
      </c>
      <c r="C646" s="12" t="s">
        <v>1304</v>
      </c>
      <c r="D646" s="9" t="s">
        <v>1305</v>
      </c>
      <c r="E646" s="9">
        <v>34.5</v>
      </c>
      <c r="F646" s="21">
        <v>25</v>
      </c>
      <c r="G646" s="16"/>
      <c r="H646" s="13">
        <v>10</v>
      </c>
      <c r="I646" s="13" t="s">
        <v>723</v>
      </c>
      <c r="J646" s="13" t="s">
        <v>88</v>
      </c>
      <c r="K646" s="16" t="s">
        <v>89</v>
      </c>
      <c r="L646" s="16" t="s">
        <v>90</v>
      </c>
      <c r="M646" s="64" t="s">
        <v>1326</v>
      </c>
    </row>
    <row r="647" spans="1:13" s="84" customFormat="1" ht="50.1" customHeight="1" x14ac:dyDescent="0.25">
      <c r="A647" s="11" t="s">
        <v>445</v>
      </c>
      <c r="B647" s="11" t="s">
        <v>148</v>
      </c>
      <c r="C647" s="12" t="s">
        <v>1304</v>
      </c>
      <c r="D647" s="9" t="s">
        <v>1305</v>
      </c>
      <c r="E647" s="9">
        <v>34.5</v>
      </c>
      <c r="F647" s="21">
        <v>25</v>
      </c>
      <c r="G647" s="13"/>
      <c r="H647" s="13">
        <v>15</v>
      </c>
      <c r="I647" s="13" t="s">
        <v>723</v>
      </c>
      <c r="J647" s="13" t="s">
        <v>88</v>
      </c>
      <c r="K647" s="16" t="s">
        <v>89</v>
      </c>
      <c r="L647" s="16" t="s">
        <v>93</v>
      </c>
      <c r="M647" s="64" t="s">
        <v>1326</v>
      </c>
    </row>
    <row r="648" spans="1:13" s="84" customFormat="1" ht="50.1" customHeight="1" x14ac:dyDescent="0.25">
      <c r="A648" s="11"/>
      <c r="B648" s="11" t="s">
        <v>148</v>
      </c>
      <c r="C648" s="12" t="s">
        <v>1304</v>
      </c>
      <c r="D648" s="9" t="s">
        <v>1305</v>
      </c>
      <c r="E648" s="9">
        <v>34.5</v>
      </c>
      <c r="F648" s="21">
        <v>25</v>
      </c>
      <c r="G648" s="13"/>
      <c r="H648" s="13">
        <v>10</v>
      </c>
      <c r="I648" s="13" t="s">
        <v>723</v>
      </c>
      <c r="J648" s="13" t="s">
        <v>88</v>
      </c>
      <c r="K648" s="16" t="s">
        <v>109</v>
      </c>
      <c r="L648" s="16" t="s">
        <v>90</v>
      </c>
      <c r="M648" s="64" t="s">
        <v>1326</v>
      </c>
    </row>
    <row r="649" spans="1:13" s="84" customFormat="1" ht="50.1" customHeight="1" x14ac:dyDescent="0.25">
      <c r="A649" s="11" t="s">
        <v>445</v>
      </c>
      <c r="B649" s="11" t="s">
        <v>148</v>
      </c>
      <c r="C649" s="12" t="s">
        <v>1306</v>
      </c>
      <c r="D649" s="9" t="s">
        <v>1307</v>
      </c>
      <c r="E649" s="9">
        <v>34.5</v>
      </c>
      <c r="F649" s="21">
        <v>10</v>
      </c>
      <c r="G649" s="16"/>
      <c r="H649" s="13">
        <v>10</v>
      </c>
      <c r="I649" s="13" t="s">
        <v>723</v>
      </c>
      <c r="J649" s="13" t="s">
        <v>114</v>
      </c>
      <c r="K649" s="16" t="s">
        <v>89</v>
      </c>
      <c r="L649" s="16" t="s">
        <v>90</v>
      </c>
      <c r="M649" s="64" t="s">
        <v>1326</v>
      </c>
    </row>
    <row r="650" spans="1:13" s="84" customFormat="1" ht="50.1" customHeight="1" x14ac:dyDescent="0.25">
      <c r="A650" s="11" t="s">
        <v>445</v>
      </c>
      <c r="B650" s="11" t="s">
        <v>148</v>
      </c>
      <c r="C650" s="12" t="s">
        <v>1308</v>
      </c>
      <c r="D650" s="9" t="s">
        <v>1309</v>
      </c>
      <c r="E650" s="9">
        <v>34.5</v>
      </c>
      <c r="F650" s="21">
        <v>15</v>
      </c>
      <c r="G650" s="13"/>
      <c r="H650" s="13">
        <v>15</v>
      </c>
      <c r="I650" s="13" t="s">
        <v>723</v>
      </c>
      <c r="J650" s="13" t="s">
        <v>88</v>
      </c>
      <c r="K650" s="16" t="s">
        <v>89</v>
      </c>
      <c r="L650" s="16" t="s">
        <v>93</v>
      </c>
      <c r="M650" s="64" t="s">
        <v>1326</v>
      </c>
    </row>
    <row r="651" spans="1:13" s="84" customFormat="1" ht="21" customHeight="1" x14ac:dyDescent="0.25">
      <c r="A651" s="11" t="s">
        <v>445</v>
      </c>
      <c r="B651" s="11" t="s">
        <v>148</v>
      </c>
      <c r="C651" s="12" t="s">
        <v>1310</v>
      </c>
      <c r="D651" s="9" t="s">
        <v>1311</v>
      </c>
      <c r="E651" s="9">
        <v>34.5</v>
      </c>
      <c r="F651" s="21">
        <v>10</v>
      </c>
      <c r="G651" s="16"/>
      <c r="H651" s="13">
        <v>10</v>
      </c>
      <c r="I651" s="13" t="s">
        <v>723</v>
      </c>
      <c r="J651" s="13" t="s">
        <v>114</v>
      </c>
      <c r="K651" s="16" t="s">
        <v>89</v>
      </c>
      <c r="L651" s="16" t="s">
        <v>90</v>
      </c>
      <c r="M651" s="64" t="s">
        <v>1326</v>
      </c>
    </row>
    <row r="652" spans="1:13" s="84" customFormat="1" ht="21" customHeight="1" x14ac:dyDescent="0.25">
      <c r="A652" s="11" t="s">
        <v>445</v>
      </c>
      <c r="B652" s="11" t="s">
        <v>148</v>
      </c>
      <c r="C652" s="12" t="s">
        <v>1312</v>
      </c>
      <c r="D652" s="9" t="s">
        <v>1313</v>
      </c>
      <c r="E652" s="9">
        <v>34.5</v>
      </c>
      <c r="F652" s="21">
        <v>6</v>
      </c>
      <c r="G652" s="16"/>
      <c r="H652" s="13">
        <v>6</v>
      </c>
      <c r="I652" s="13" t="s">
        <v>723</v>
      </c>
      <c r="J652" s="13" t="s">
        <v>114</v>
      </c>
      <c r="K652" s="16" t="s">
        <v>109</v>
      </c>
      <c r="L652" s="16" t="s">
        <v>90</v>
      </c>
      <c r="M652" s="64" t="s">
        <v>1326</v>
      </c>
    </row>
    <row r="653" spans="1:13" s="84" customFormat="1" ht="21" customHeight="1" x14ac:dyDescent="0.25">
      <c r="A653" s="11" t="s">
        <v>445</v>
      </c>
      <c r="B653" s="11" t="s">
        <v>148</v>
      </c>
      <c r="C653" s="12" t="s">
        <v>1314</v>
      </c>
      <c r="D653" s="9" t="s">
        <v>1315</v>
      </c>
      <c r="E653" s="9">
        <v>34.5</v>
      </c>
      <c r="F653" s="21">
        <v>0</v>
      </c>
      <c r="G653" s="16" t="s">
        <v>719</v>
      </c>
      <c r="H653" s="13">
        <v>0</v>
      </c>
      <c r="I653" s="13" t="s">
        <v>720</v>
      </c>
      <c r="J653" s="13" t="s">
        <v>88</v>
      </c>
      <c r="K653" s="16"/>
      <c r="L653" s="16"/>
      <c r="M653" s="64" t="s">
        <v>1326</v>
      </c>
    </row>
    <row r="654" spans="1:13" s="84" customFormat="1" ht="21" customHeight="1" x14ac:dyDescent="0.25">
      <c r="A654" s="11" t="s">
        <v>445</v>
      </c>
      <c r="B654" s="11" t="s">
        <v>148</v>
      </c>
      <c r="C654" s="12" t="s">
        <v>1316</v>
      </c>
      <c r="D654" s="9" t="s">
        <v>1317</v>
      </c>
      <c r="E654" s="9">
        <v>34.5</v>
      </c>
      <c r="F654" s="21">
        <v>20</v>
      </c>
      <c r="G654" s="16"/>
      <c r="H654" s="13">
        <v>10</v>
      </c>
      <c r="I654" s="13" t="s">
        <v>723</v>
      </c>
      <c r="J654" s="13" t="s">
        <v>88</v>
      </c>
      <c r="K654" s="16" t="s">
        <v>89</v>
      </c>
      <c r="L654" s="16" t="s">
        <v>90</v>
      </c>
      <c r="M654" s="64" t="s">
        <v>1326</v>
      </c>
    </row>
    <row r="655" spans="1:13" s="84" customFormat="1" ht="21" customHeight="1" x14ac:dyDescent="0.25">
      <c r="A655" s="11" t="s">
        <v>445</v>
      </c>
      <c r="B655" s="11" t="s">
        <v>148</v>
      </c>
      <c r="C655" s="12" t="s">
        <v>1316</v>
      </c>
      <c r="D655" s="9" t="s">
        <v>1317</v>
      </c>
      <c r="E655" s="9">
        <v>34.5</v>
      </c>
      <c r="F655" s="21">
        <v>20</v>
      </c>
      <c r="G655" s="13"/>
      <c r="H655" s="13">
        <v>10</v>
      </c>
      <c r="I655" s="13" t="s">
        <v>723</v>
      </c>
      <c r="J655" s="13" t="s">
        <v>88</v>
      </c>
      <c r="K655" s="16" t="s">
        <v>109</v>
      </c>
      <c r="L655" s="16" t="s">
        <v>90</v>
      </c>
      <c r="M655" s="64" t="s">
        <v>1326</v>
      </c>
    </row>
    <row r="656" spans="1:13" s="84" customFormat="1" ht="21" customHeight="1" x14ac:dyDescent="0.25">
      <c r="A656" s="11" t="s">
        <v>445</v>
      </c>
      <c r="B656" s="11" t="s">
        <v>148</v>
      </c>
      <c r="C656" s="12" t="s">
        <v>1318</v>
      </c>
      <c r="D656" s="9" t="s">
        <v>1319</v>
      </c>
      <c r="E656" s="9">
        <v>34.5</v>
      </c>
      <c r="F656" s="21">
        <v>20</v>
      </c>
      <c r="G656" s="16"/>
      <c r="H656" s="13">
        <v>10</v>
      </c>
      <c r="I656" s="13" t="s">
        <v>723</v>
      </c>
      <c r="J656" s="13" t="s">
        <v>88</v>
      </c>
      <c r="K656" s="16" t="s">
        <v>89</v>
      </c>
      <c r="L656" s="16" t="s">
        <v>90</v>
      </c>
      <c r="M656" s="64" t="s">
        <v>1326</v>
      </c>
    </row>
    <row r="657" spans="1:13" s="84" customFormat="1" ht="21" customHeight="1" x14ac:dyDescent="0.25">
      <c r="A657" s="11" t="s">
        <v>445</v>
      </c>
      <c r="B657" s="11" t="s">
        <v>148</v>
      </c>
      <c r="C657" s="12" t="s">
        <v>1318</v>
      </c>
      <c r="D657" s="9" t="s">
        <v>1319</v>
      </c>
      <c r="E657" s="9">
        <v>34.5</v>
      </c>
      <c r="F657" s="21">
        <v>20</v>
      </c>
      <c r="G657" s="13"/>
      <c r="H657" s="13">
        <v>10</v>
      </c>
      <c r="I657" s="13" t="s">
        <v>723</v>
      </c>
      <c r="J657" s="13" t="s">
        <v>88</v>
      </c>
      <c r="K657" s="16" t="s">
        <v>89</v>
      </c>
      <c r="L657" s="16" t="s">
        <v>90</v>
      </c>
      <c r="M657" s="64" t="s">
        <v>1326</v>
      </c>
    </row>
    <row r="658" spans="1:13" s="84" customFormat="1" ht="21" customHeight="1" x14ac:dyDescent="0.25">
      <c r="A658" s="11" t="s">
        <v>445</v>
      </c>
      <c r="B658" s="11" t="s">
        <v>148</v>
      </c>
      <c r="C658" s="12" t="s">
        <v>1320</v>
      </c>
      <c r="D658" s="9" t="s">
        <v>1321</v>
      </c>
      <c r="E658" s="9">
        <v>34.5</v>
      </c>
      <c r="F658" s="21">
        <v>5</v>
      </c>
      <c r="G658" s="16"/>
      <c r="H658" s="13">
        <v>5</v>
      </c>
      <c r="I658" s="13" t="s">
        <v>723</v>
      </c>
      <c r="J658" s="13" t="s">
        <v>114</v>
      </c>
      <c r="K658" s="16" t="s">
        <v>89</v>
      </c>
      <c r="L658" s="16" t="s">
        <v>90</v>
      </c>
      <c r="M658" s="64" t="s">
        <v>1326</v>
      </c>
    </row>
    <row r="659" spans="1:13" s="84" customFormat="1" ht="21" customHeight="1" x14ac:dyDescent="0.25">
      <c r="A659" s="11" t="s">
        <v>445</v>
      </c>
      <c r="B659" s="11" t="s">
        <v>148</v>
      </c>
      <c r="C659" s="12" t="s">
        <v>1322</v>
      </c>
      <c r="D659" s="9" t="s">
        <v>1323</v>
      </c>
      <c r="E659" s="9">
        <v>34.5</v>
      </c>
      <c r="F659" s="21">
        <v>5</v>
      </c>
      <c r="G659" s="16"/>
      <c r="H659" s="13">
        <v>5</v>
      </c>
      <c r="I659" s="13" t="s">
        <v>723</v>
      </c>
      <c r="J659" s="13" t="s">
        <v>88</v>
      </c>
      <c r="K659" s="16" t="s">
        <v>109</v>
      </c>
      <c r="L659" s="16" t="s">
        <v>90</v>
      </c>
      <c r="M659" s="64" t="s">
        <v>1326</v>
      </c>
    </row>
    <row r="660" spans="1:13" s="84" customFormat="1" ht="21" customHeight="1" x14ac:dyDescent="0.25">
      <c r="A660" s="11" t="s">
        <v>445</v>
      </c>
      <c r="B660" s="11" t="s">
        <v>148</v>
      </c>
      <c r="C660" s="12" t="s">
        <v>1324</v>
      </c>
      <c r="D660" s="9" t="s">
        <v>1325</v>
      </c>
      <c r="E660" s="9">
        <v>34.5</v>
      </c>
      <c r="F660" s="21">
        <v>20</v>
      </c>
      <c r="G660" s="16"/>
      <c r="H660" s="13">
        <v>20</v>
      </c>
      <c r="I660" s="13" t="s">
        <v>723</v>
      </c>
      <c r="J660" s="13" t="s">
        <v>114</v>
      </c>
      <c r="K660" s="16" t="s">
        <v>89</v>
      </c>
      <c r="L660" s="16" t="s">
        <v>90</v>
      </c>
      <c r="M660" s="64" t="s">
        <v>1326</v>
      </c>
    </row>
  </sheetData>
  <sheetProtection selectLockedCells="1" selectUnlockedCells="1"/>
  <dataValidations count="7">
    <dataValidation type="list" allowBlank="1" showInputMessage="1" showErrorMessage="1" sqref="L2:L36 L39:L286 L318:L379 L383:L389 L391:L392 L394:L449 L467:L660">
      <formula1>"MOVIL, FIJO"</formula1>
    </dataValidation>
    <dataValidation type="list" allowBlank="1" showInputMessage="1" showErrorMessage="1" sqref="K2:K36 K39:K286 K383:K389 K391:K392 K394:K449 K343:K379 K318:K341 K467:K505 K507 K509:K515 K517:K518 K520:K660">
      <formula1>"OPERATIVO, NO OPERATIVO"</formula1>
    </dataValidation>
    <dataValidation type="list" allowBlank="1" showInputMessage="1" showErrorMessage="1" sqref="J2:J36 J39:J286 J318:J379 J383:J389 J391:J392 J394:J449 J467:J660">
      <formula1>"SI, NO"</formula1>
    </dataValidation>
    <dataValidation type="list" allowBlank="1" showInputMessage="1" showErrorMessage="1" errorTitle="Error en ingreso de datos" error="Debe seleccionar un nombre de la lista" sqref="A93:B96 A98:B99 A101:B101">
      <formula1>$A$1:$A$1</formula1>
    </dataValidation>
    <dataValidation type="list" allowBlank="1" showErrorMessage="1" sqref="K287:K317">
      <formula1>"OPERATIVO,NO OPERATIVO"</formula1>
    </dataValidation>
    <dataValidation type="list" allowBlank="1" showErrorMessage="1" sqref="L287:L317">
      <formula1>"MOVIL,FIJO"</formula1>
    </dataValidation>
    <dataValidation type="list" allowBlank="1" showErrorMessage="1" sqref="J287:J317">
      <formula1>"SI,NO"</formula1>
    </dataValidation>
  </dataValidations>
  <pageMargins left="0.7" right="0.7" top="0.75" bottom="0.75" header="0.51180555555555551" footer="0.51180555555555551"/>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H5" sqref="H5"/>
    </sheetView>
  </sheetViews>
  <sheetFormatPr baseColWidth="10" defaultRowHeight="15" x14ac:dyDescent="0.25"/>
  <cols>
    <col min="1" max="1" width="11.42578125" style="54"/>
    <col min="2" max="2" width="24.140625" style="54" customWidth="1"/>
    <col min="3" max="3" width="25.28515625" style="54" customWidth="1"/>
    <col min="4" max="4" width="20.85546875" style="54" customWidth="1"/>
    <col min="5" max="5" width="18.140625" style="54" customWidth="1"/>
    <col min="6" max="6" width="12.140625" style="54" customWidth="1"/>
    <col min="7" max="7" width="19" style="57" customWidth="1"/>
    <col min="8" max="8" width="56.42578125" style="54" customWidth="1"/>
    <col min="9" max="9" width="16" style="54" customWidth="1"/>
    <col min="10" max="10" width="18.7109375" style="54" customWidth="1"/>
    <col min="11" max="16384" width="11.42578125" style="54"/>
  </cols>
  <sheetData>
    <row r="1" spans="1:12" ht="76.5" customHeight="1" x14ac:dyDescent="0.25">
      <c r="A1" s="56" t="s">
        <v>0</v>
      </c>
      <c r="B1" s="56" t="s">
        <v>1</v>
      </c>
      <c r="C1" s="56" t="s">
        <v>2</v>
      </c>
      <c r="D1" s="56" t="s">
        <v>4</v>
      </c>
      <c r="E1" s="56" t="s">
        <v>53</v>
      </c>
      <c r="F1" s="56" t="s">
        <v>55</v>
      </c>
      <c r="G1" s="56" t="s">
        <v>54</v>
      </c>
      <c r="H1" s="56" t="s">
        <v>56</v>
      </c>
      <c r="I1" s="56" t="s">
        <v>57</v>
      </c>
      <c r="J1" s="56" t="s">
        <v>58</v>
      </c>
      <c r="K1" s="56" t="s">
        <v>59</v>
      </c>
      <c r="L1" s="53"/>
    </row>
    <row r="2" spans="1:12" ht="38.25" customHeight="1" x14ac:dyDescent="0.25">
      <c r="A2" s="38" t="s">
        <v>5</v>
      </c>
      <c r="B2" s="38" t="s">
        <v>6</v>
      </c>
      <c r="C2" s="39" t="s">
        <v>20</v>
      </c>
      <c r="D2" s="40">
        <v>34.5</v>
      </c>
      <c r="E2" s="41">
        <v>25</v>
      </c>
      <c r="F2" s="42"/>
      <c r="G2" s="43">
        <v>10</v>
      </c>
      <c r="H2" s="43"/>
      <c r="I2" s="43" t="s">
        <v>88</v>
      </c>
      <c r="J2" s="42" t="s">
        <v>109</v>
      </c>
      <c r="K2" s="42" t="s">
        <v>90</v>
      </c>
      <c r="L2" s="55"/>
    </row>
    <row r="3" spans="1:12" ht="45" x14ac:dyDescent="0.25">
      <c r="A3" s="40" t="s">
        <v>298</v>
      </c>
      <c r="B3" s="40" t="s">
        <v>149</v>
      </c>
      <c r="C3" s="44" t="s">
        <v>339</v>
      </c>
      <c r="D3" s="40">
        <v>34.5</v>
      </c>
      <c r="E3" s="45">
        <v>10</v>
      </c>
      <c r="F3" s="42" t="s">
        <v>326</v>
      </c>
      <c r="G3" s="43">
        <v>10</v>
      </c>
      <c r="H3" s="45" t="s">
        <v>342</v>
      </c>
      <c r="I3" s="42" t="s">
        <v>88</v>
      </c>
      <c r="J3" s="42" t="s">
        <v>109</v>
      </c>
      <c r="K3" s="42" t="s">
        <v>90</v>
      </c>
      <c r="L3" s="55"/>
    </row>
    <row r="4" spans="1:12" ht="75" x14ac:dyDescent="0.25">
      <c r="A4" s="40" t="s">
        <v>372</v>
      </c>
      <c r="B4" s="40" t="s">
        <v>141</v>
      </c>
      <c r="C4" s="44" t="s">
        <v>373</v>
      </c>
      <c r="D4" s="40">
        <v>34.5</v>
      </c>
      <c r="E4" s="45">
        <v>10</v>
      </c>
      <c r="F4" s="42" t="s">
        <v>375</v>
      </c>
      <c r="G4" s="43">
        <v>10</v>
      </c>
      <c r="H4" s="45" t="s">
        <v>376</v>
      </c>
      <c r="I4" s="42" t="s">
        <v>88</v>
      </c>
      <c r="J4" s="42" t="s">
        <v>109</v>
      </c>
      <c r="K4" s="42" t="s">
        <v>90</v>
      </c>
      <c r="L4" s="55"/>
    </row>
    <row r="5" spans="1:12" ht="30" x14ac:dyDescent="0.25">
      <c r="A5" s="38" t="s">
        <v>392</v>
      </c>
      <c r="B5" s="38" t="s">
        <v>153</v>
      </c>
      <c r="C5" s="39" t="s">
        <v>417</v>
      </c>
      <c r="D5" s="40">
        <v>34.5</v>
      </c>
      <c r="E5" s="46">
        <v>0</v>
      </c>
      <c r="F5" s="42" t="s">
        <v>395</v>
      </c>
      <c r="G5" s="47">
        <v>10</v>
      </c>
      <c r="H5" s="43" t="s">
        <v>419</v>
      </c>
      <c r="I5" s="43" t="s">
        <v>114</v>
      </c>
      <c r="J5" s="42" t="s">
        <v>109</v>
      </c>
      <c r="K5" s="42" t="s">
        <v>90</v>
      </c>
      <c r="L5" s="55"/>
    </row>
    <row r="6" spans="1:12" ht="45.75" customHeight="1" x14ac:dyDescent="0.25">
      <c r="A6" s="38" t="s">
        <v>392</v>
      </c>
      <c r="B6" s="38" t="s">
        <v>153</v>
      </c>
      <c r="C6" s="39" t="s">
        <v>428</v>
      </c>
      <c r="D6" s="40">
        <v>34.5</v>
      </c>
      <c r="E6" s="46">
        <v>0</v>
      </c>
      <c r="F6" s="42" t="s">
        <v>395</v>
      </c>
      <c r="G6" s="47">
        <v>10</v>
      </c>
      <c r="H6" s="43" t="s">
        <v>430</v>
      </c>
      <c r="I6" s="43" t="s">
        <v>114</v>
      </c>
      <c r="J6" s="42" t="s">
        <v>109</v>
      </c>
      <c r="K6" s="42" t="s">
        <v>90</v>
      </c>
      <c r="L6" s="55"/>
    </row>
    <row r="7" spans="1:12" ht="45" x14ac:dyDescent="0.25">
      <c r="A7" s="48" t="s">
        <v>392</v>
      </c>
      <c r="B7" s="48" t="s">
        <v>533</v>
      </c>
      <c r="C7" s="49" t="s">
        <v>567</v>
      </c>
      <c r="D7" s="48">
        <v>34.5</v>
      </c>
      <c r="E7" s="50">
        <v>10</v>
      </c>
      <c r="F7" s="48" t="s">
        <v>536</v>
      </c>
      <c r="G7" s="48">
        <v>10</v>
      </c>
      <c r="H7" s="48" t="s">
        <v>544</v>
      </c>
      <c r="I7" s="48" t="s">
        <v>114</v>
      </c>
      <c r="J7" s="48" t="s">
        <v>109</v>
      </c>
      <c r="K7" s="48" t="s">
        <v>90</v>
      </c>
      <c r="L7" s="55"/>
    </row>
    <row r="8" spans="1:12" ht="45" x14ac:dyDescent="0.25">
      <c r="A8" s="48" t="s">
        <v>392</v>
      </c>
      <c r="B8" s="48" t="s">
        <v>533</v>
      </c>
      <c r="C8" s="49" t="s">
        <v>580</v>
      </c>
      <c r="D8" s="48">
        <v>34.5</v>
      </c>
      <c r="E8" s="50">
        <v>25</v>
      </c>
      <c r="F8" s="48" t="s">
        <v>549</v>
      </c>
      <c r="G8" s="48">
        <v>10</v>
      </c>
      <c r="H8" s="48" t="s">
        <v>539</v>
      </c>
      <c r="I8" s="48" t="s">
        <v>114</v>
      </c>
      <c r="J8" s="48" t="s">
        <v>109</v>
      </c>
      <c r="K8" s="48" t="s">
        <v>90</v>
      </c>
      <c r="L8" s="55"/>
    </row>
    <row r="9" spans="1:12" ht="30" x14ac:dyDescent="0.25">
      <c r="A9" s="48" t="s">
        <v>634</v>
      </c>
      <c r="B9" s="48" t="s">
        <v>151</v>
      </c>
      <c r="C9" s="49" t="s">
        <v>635</v>
      </c>
      <c r="D9" s="48">
        <v>34.5</v>
      </c>
      <c r="E9" s="50">
        <v>11.11</v>
      </c>
      <c r="F9" s="48" t="s">
        <v>639</v>
      </c>
      <c r="G9" s="48">
        <v>10</v>
      </c>
      <c r="H9" s="48" t="s">
        <v>640</v>
      </c>
      <c r="I9" s="48" t="s">
        <v>88</v>
      </c>
      <c r="J9" s="48" t="s">
        <v>109</v>
      </c>
      <c r="K9" s="48" t="s">
        <v>90</v>
      </c>
      <c r="L9" s="55"/>
    </row>
    <row r="10" spans="1:12" ht="30" x14ac:dyDescent="0.25">
      <c r="A10" s="48" t="s">
        <v>634</v>
      </c>
      <c r="B10" s="48" t="s">
        <v>151</v>
      </c>
      <c r="C10" s="49" t="s">
        <v>646</v>
      </c>
      <c r="D10" s="48">
        <v>34.5</v>
      </c>
      <c r="E10" s="50">
        <v>11.11</v>
      </c>
      <c r="F10" s="48" t="s">
        <v>647</v>
      </c>
      <c r="G10" s="48">
        <v>10</v>
      </c>
      <c r="H10" s="48" t="s">
        <v>640</v>
      </c>
      <c r="I10" s="48" t="s">
        <v>88</v>
      </c>
      <c r="J10" s="48" t="s">
        <v>109</v>
      </c>
      <c r="K10" s="48" t="s">
        <v>90</v>
      </c>
      <c r="L10" s="55"/>
    </row>
    <row r="11" spans="1:12" ht="30" x14ac:dyDescent="0.25">
      <c r="A11" s="48" t="s">
        <v>634</v>
      </c>
      <c r="B11" s="48" t="s">
        <v>151</v>
      </c>
      <c r="C11" s="49" t="s">
        <v>646</v>
      </c>
      <c r="D11" s="48">
        <v>34.5</v>
      </c>
      <c r="E11" s="50">
        <v>11.11</v>
      </c>
      <c r="F11" s="48" t="s">
        <v>637</v>
      </c>
      <c r="G11" s="48">
        <v>10</v>
      </c>
      <c r="H11" s="48" t="s">
        <v>640</v>
      </c>
      <c r="I11" s="48" t="s">
        <v>88</v>
      </c>
      <c r="J11" s="48" t="s">
        <v>109</v>
      </c>
      <c r="K11" s="48" t="s">
        <v>90</v>
      </c>
      <c r="L11" s="55"/>
    </row>
    <row r="12" spans="1:12" ht="30" x14ac:dyDescent="0.25">
      <c r="A12" s="48" t="s">
        <v>634</v>
      </c>
      <c r="B12" s="48" t="s">
        <v>151</v>
      </c>
      <c r="C12" s="49" t="s">
        <v>657</v>
      </c>
      <c r="D12" s="48">
        <v>34.5</v>
      </c>
      <c r="E12" s="50">
        <v>11.11</v>
      </c>
      <c r="F12" s="48" t="s">
        <v>637</v>
      </c>
      <c r="G12" s="48">
        <v>10</v>
      </c>
      <c r="H12" s="48" t="s">
        <v>640</v>
      </c>
      <c r="I12" s="48" t="s">
        <v>88</v>
      </c>
      <c r="J12" s="48" t="s">
        <v>109</v>
      </c>
      <c r="K12" s="48" t="s">
        <v>90</v>
      </c>
      <c r="L12" s="55"/>
    </row>
    <row r="13" spans="1:12" ht="30" x14ac:dyDescent="0.25">
      <c r="A13" s="48" t="s">
        <v>634</v>
      </c>
      <c r="B13" s="48" t="s">
        <v>151</v>
      </c>
      <c r="C13" s="49" t="s">
        <v>659</v>
      </c>
      <c r="D13" s="48">
        <v>34.5</v>
      </c>
      <c r="E13" s="50">
        <v>11.11</v>
      </c>
      <c r="F13" s="48" t="s">
        <v>637</v>
      </c>
      <c r="G13" s="48">
        <v>10</v>
      </c>
      <c r="H13" s="48" t="s">
        <v>640</v>
      </c>
      <c r="I13" s="48" t="s">
        <v>88</v>
      </c>
      <c r="J13" s="48" t="s">
        <v>109</v>
      </c>
      <c r="K13" s="48" t="s">
        <v>90</v>
      </c>
      <c r="L13" s="55"/>
    </row>
    <row r="14" spans="1:12" ht="24" customHeight="1" x14ac:dyDescent="0.25">
      <c r="A14" s="38" t="s">
        <v>445</v>
      </c>
      <c r="B14" s="38" t="s">
        <v>148</v>
      </c>
      <c r="C14" s="39" t="s">
        <v>728</v>
      </c>
      <c r="D14" s="40">
        <v>34.5</v>
      </c>
      <c r="E14" s="51">
        <v>10</v>
      </c>
      <c r="F14" s="42"/>
      <c r="G14" s="43">
        <v>10</v>
      </c>
      <c r="H14" s="43" t="s">
        <v>723</v>
      </c>
      <c r="I14" s="43" t="s">
        <v>88</v>
      </c>
      <c r="J14" s="42" t="s">
        <v>109</v>
      </c>
      <c r="K14" s="42" t="s">
        <v>90</v>
      </c>
      <c r="L14" s="55"/>
    </row>
    <row r="15" spans="1:12" x14ac:dyDescent="0.25">
      <c r="A15" s="38" t="s">
        <v>445</v>
      </c>
      <c r="B15" s="38" t="s">
        <v>148</v>
      </c>
      <c r="C15" s="39" t="s">
        <v>43</v>
      </c>
      <c r="D15" s="40">
        <v>34.5</v>
      </c>
      <c r="E15" s="51">
        <v>20</v>
      </c>
      <c r="F15" s="52"/>
      <c r="G15" s="43">
        <v>10</v>
      </c>
      <c r="H15" s="43" t="s">
        <v>723</v>
      </c>
      <c r="I15" s="43" t="s">
        <v>88</v>
      </c>
      <c r="J15" s="42" t="s">
        <v>109</v>
      </c>
      <c r="K15" s="42" t="s">
        <v>90</v>
      </c>
      <c r="L15" s="55"/>
    </row>
    <row r="16" spans="1:12" x14ac:dyDescent="0.25">
      <c r="A16" s="38" t="s">
        <v>445</v>
      </c>
      <c r="B16" s="38" t="s">
        <v>148</v>
      </c>
      <c r="C16" s="39" t="s">
        <v>739</v>
      </c>
      <c r="D16" s="40">
        <v>34.5</v>
      </c>
      <c r="E16" s="51">
        <v>20</v>
      </c>
      <c r="F16" s="43"/>
      <c r="G16" s="43">
        <v>10</v>
      </c>
      <c r="H16" s="43" t="s">
        <v>723</v>
      </c>
      <c r="I16" s="43" t="s">
        <v>88</v>
      </c>
      <c r="J16" s="42" t="s">
        <v>109</v>
      </c>
      <c r="K16" s="42" t="s">
        <v>90</v>
      </c>
      <c r="L16" s="55"/>
    </row>
    <row r="17" spans="1:12" ht="30" x14ac:dyDescent="0.25">
      <c r="A17" s="40" t="s">
        <v>126</v>
      </c>
      <c r="B17" s="40" t="s">
        <v>139</v>
      </c>
      <c r="C17" s="44" t="s">
        <v>795</v>
      </c>
      <c r="D17" s="40">
        <v>34.5</v>
      </c>
      <c r="E17" s="51">
        <v>20</v>
      </c>
      <c r="F17" s="42" t="s">
        <v>794</v>
      </c>
      <c r="G17" s="42">
        <v>10</v>
      </c>
      <c r="H17" s="42" t="s">
        <v>596</v>
      </c>
      <c r="I17" s="42" t="s">
        <v>88</v>
      </c>
      <c r="J17" s="42" t="s">
        <v>109</v>
      </c>
      <c r="K17" s="42" t="s">
        <v>90</v>
      </c>
      <c r="L17" s="55"/>
    </row>
    <row r="18" spans="1:12" ht="30" x14ac:dyDescent="0.25">
      <c r="A18" s="40" t="s">
        <v>126</v>
      </c>
      <c r="B18" s="40" t="s">
        <v>139</v>
      </c>
      <c r="C18" s="44" t="s">
        <v>805</v>
      </c>
      <c r="D18" s="40">
        <v>34.5</v>
      </c>
      <c r="E18" s="51">
        <v>20</v>
      </c>
      <c r="F18" s="42" t="s">
        <v>782</v>
      </c>
      <c r="G18" s="42">
        <v>10</v>
      </c>
      <c r="H18" s="42" t="s">
        <v>596</v>
      </c>
      <c r="I18" s="42" t="s">
        <v>88</v>
      </c>
      <c r="J18" s="42" t="s">
        <v>109</v>
      </c>
      <c r="K18" s="42" t="s">
        <v>90</v>
      </c>
      <c r="L18" s="55"/>
    </row>
    <row r="19" spans="1:12" ht="30" x14ac:dyDescent="0.25">
      <c r="A19" s="40" t="s">
        <v>126</v>
      </c>
      <c r="B19" s="40" t="s">
        <v>139</v>
      </c>
      <c r="C19" s="44" t="s">
        <v>805</v>
      </c>
      <c r="D19" s="40">
        <v>34.5</v>
      </c>
      <c r="E19" s="51">
        <v>20</v>
      </c>
      <c r="F19" s="42" t="s">
        <v>794</v>
      </c>
      <c r="G19" s="42">
        <v>10</v>
      </c>
      <c r="H19" s="42" t="s">
        <v>596</v>
      </c>
      <c r="I19" s="42" t="s">
        <v>88</v>
      </c>
      <c r="J19" s="42" t="s">
        <v>109</v>
      </c>
      <c r="K19" s="42" t="s">
        <v>90</v>
      </c>
      <c r="L19" s="55"/>
    </row>
    <row r="20" spans="1:12" ht="30" x14ac:dyDescent="0.25">
      <c r="A20" s="40" t="s">
        <v>126</v>
      </c>
      <c r="B20" s="40" t="s">
        <v>139</v>
      </c>
      <c r="C20" s="44" t="s">
        <v>821</v>
      </c>
      <c r="D20" s="40">
        <v>34.5</v>
      </c>
      <c r="E20" s="51">
        <v>10</v>
      </c>
      <c r="F20" s="42" t="s">
        <v>782</v>
      </c>
      <c r="G20" s="42">
        <v>10</v>
      </c>
      <c r="H20" s="42" t="s">
        <v>596</v>
      </c>
      <c r="I20" s="42" t="s">
        <v>88</v>
      </c>
      <c r="J20" s="42" t="s">
        <v>109</v>
      </c>
      <c r="K20" s="42" t="s">
        <v>90</v>
      </c>
      <c r="L20" s="55"/>
    </row>
    <row r="21" spans="1:12" ht="30" x14ac:dyDescent="0.25">
      <c r="A21" s="40" t="s">
        <v>126</v>
      </c>
      <c r="B21" s="40" t="s">
        <v>139</v>
      </c>
      <c r="C21" s="44" t="s">
        <v>829</v>
      </c>
      <c r="D21" s="40">
        <v>34.5</v>
      </c>
      <c r="E21" s="51">
        <v>10</v>
      </c>
      <c r="F21" s="42" t="s">
        <v>782</v>
      </c>
      <c r="G21" s="42">
        <v>10</v>
      </c>
      <c r="H21" s="42" t="s">
        <v>596</v>
      </c>
      <c r="I21" s="42" t="s">
        <v>88</v>
      </c>
      <c r="J21" s="42" t="s">
        <v>109</v>
      </c>
      <c r="K21" s="42" t="s">
        <v>90</v>
      </c>
      <c r="L21" s="55"/>
    </row>
    <row r="22" spans="1:12" ht="30" x14ac:dyDescent="0.25">
      <c r="A22" s="40" t="s">
        <v>126</v>
      </c>
      <c r="B22" s="40" t="s">
        <v>139</v>
      </c>
      <c r="C22" s="44" t="s">
        <v>845</v>
      </c>
      <c r="D22" s="40">
        <v>34.5</v>
      </c>
      <c r="E22" s="51">
        <v>10</v>
      </c>
      <c r="F22" s="42" t="s">
        <v>794</v>
      </c>
      <c r="G22" s="42">
        <v>10</v>
      </c>
      <c r="H22" s="42" t="s">
        <v>596</v>
      </c>
      <c r="I22" s="42" t="s">
        <v>88</v>
      </c>
      <c r="J22" s="42" t="s">
        <v>109</v>
      </c>
      <c r="K22" s="42" t="s">
        <v>90</v>
      </c>
      <c r="L22" s="55"/>
    </row>
    <row r="23" spans="1:12" ht="70.5" customHeight="1" x14ac:dyDescent="0.25">
      <c r="A23" s="40" t="s">
        <v>634</v>
      </c>
      <c r="B23" s="40" t="s">
        <v>137</v>
      </c>
      <c r="C23" s="44" t="s">
        <v>849</v>
      </c>
      <c r="D23" s="40">
        <v>34.5</v>
      </c>
      <c r="E23" s="51">
        <v>40</v>
      </c>
      <c r="F23" s="42" t="s">
        <v>856</v>
      </c>
      <c r="G23" s="42">
        <v>10</v>
      </c>
      <c r="H23" s="42" t="s">
        <v>857</v>
      </c>
      <c r="I23" s="42" t="s">
        <v>88</v>
      </c>
      <c r="J23" s="42" t="s">
        <v>109</v>
      </c>
      <c r="K23" s="42" t="s">
        <v>90</v>
      </c>
      <c r="L23" s="55" t="s">
        <v>858</v>
      </c>
    </row>
    <row r="24" spans="1:12" ht="33" customHeight="1" x14ac:dyDescent="0.25">
      <c r="A24" s="40" t="s">
        <v>953</v>
      </c>
      <c r="B24" s="40" t="s">
        <v>154</v>
      </c>
      <c r="C24" s="44" t="s">
        <v>701</v>
      </c>
      <c r="D24" s="40">
        <v>34.5</v>
      </c>
      <c r="E24" s="51">
        <v>0</v>
      </c>
      <c r="F24" s="42" t="s">
        <v>958</v>
      </c>
      <c r="G24" s="42">
        <v>10</v>
      </c>
      <c r="H24" s="42" t="s">
        <v>991</v>
      </c>
      <c r="I24" s="42"/>
      <c r="J24" s="42" t="s">
        <v>109</v>
      </c>
      <c r="K24" s="42" t="s">
        <v>90</v>
      </c>
      <c r="L24" s="55"/>
    </row>
    <row r="25" spans="1:12" ht="35.25" customHeight="1" x14ac:dyDescent="0.25">
      <c r="A25" s="40" t="s">
        <v>953</v>
      </c>
      <c r="B25" s="40" t="s">
        <v>154</v>
      </c>
      <c r="C25" s="44" t="s">
        <v>1007</v>
      </c>
      <c r="D25" s="40">
        <v>34.5</v>
      </c>
      <c r="E25" s="51">
        <v>20</v>
      </c>
      <c r="F25" s="42" t="s">
        <v>956</v>
      </c>
      <c r="G25" s="42">
        <v>10</v>
      </c>
      <c r="H25" s="42"/>
      <c r="I25" s="42"/>
      <c r="J25" s="42" t="s">
        <v>109</v>
      </c>
      <c r="K25" s="42" t="s">
        <v>90</v>
      </c>
      <c r="L25" s="55"/>
    </row>
    <row r="26" spans="1:12" ht="33" customHeight="1" x14ac:dyDescent="0.25">
      <c r="A26" s="40" t="s">
        <v>953</v>
      </c>
      <c r="B26" s="40" t="s">
        <v>154</v>
      </c>
      <c r="C26" s="44" t="s">
        <v>1007</v>
      </c>
      <c r="D26" s="40">
        <v>34.5</v>
      </c>
      <c r="E26" s="51">
        <v>20</v>
      </c>
      <c r="F26" s="42" t="s">
        <v>958</v>
      </c>
      <c r="G26" s="42">
        <v>10</v>
      </c>
      <c r="H26" s="42"/>
      <c r="I26" s="42"/>
      <c r="J26" s="42" t="s">
        <v>109</v>
      </c>
      <c r="K26" s="42" t="s">
        <v>90</v>
      </c>
      <c r="L26" s="55"/>
    </row>
  </sheetData>
  <autoFilter ref="A1:L1"/>
  <dataValidations count="6">
    <dataValidation type="list" allowBlank="1" showInputMessage="1" showErrorMessage="1" sqref="I2:I6 I9:I22 I24:I26">
      <formula1>"SI, NO"</formula1>
    </dataValidation>
    <dataValidation type="list" allowBlank="1" showInputMessage="1" showErrorMessage="1" sqref="J2:J6 J9:J22 J24:J26">
      <formula1>"OPERATIVO, NO OPERATIVO"</formula1>
    </dataValidation>
    <dataValidation type="list" allowBlank="1" showInputMessage="1" showErrorMessage="1" sqref="K2:K6 K9:K22 K24:K26">
      <formula1>"MOVIL, FIJO"</formula1>
    </dataValidation>
    <dataValidation type="list" allowBlank="1" showErrorMessage="1" sqref="I7:I8">
      <formula1>"SI,NO"</formula1>
    </dataValidation>
    <dataValidation type="list" allowBlank="1" showErrorMessage="1" sqref="K7:K8">
      <formula1>"MOVIL,FIJO"</formula1>
    </dataValidation>
    <dataValidation type="list" allowBlank="1" showErrorMessage="1" sqref="J7:J8">
      <formula1>"OPERATIVO,NO OPERATIVO"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selection activeCell="E7" sqref="E7"/>
    </sheetView>
  </sheetViews>
  <sheetFormatPr baseColWidth="10" defaultRowHeight="15" x14ac:dyDescent="0.25"/>
  <cols>
    <col min="1" max="1" width="20" customWidth="1"/>
    <col min="2" max="2" width="28.42578125" customWidth="1"/>
    <col min="3" max="3" width="17.7109375" customWidth="1"/>
    <col min="5" max="5" width="47" customWidth="1"/>
    <col min="6" max="6" width="75.28515625" customWidth="1"/>
    <col min="7" max="7" width="21.5703125" customWidth="1"/>
  </cols>
  <sheetData>
    <row r="1" spans="1:7" ht="51.75" customHeight="1" x14ac:dyDescent="0.25">
      <c r="A1" s="63" t="s">
        <v>1</v>
      </c>
      <c r="B1" s="63" t="s">
        <v>1160</v>
      </c>
      <c r="C1" s="63" t="s">
        <v>1161</v>
      </c>
      <c r="D1" s="63" t="s">
        <v>1162</v>
      </c>
      <c r="E1" s="63" t="s">
        <v>1163</v>
      </c>
      <c r="F1" s="63" t="s">
        <v>1164</v>
      </c>
      <c r="G1" s="63" t="s">
        <v>1165</v>
      </c>
    </row>
    <row r="2" spans="1:7" ht="45" x14ac:dyDescent="0.25">
      <c r="A2" s="58" t="s">
        <v>6</v>
      </c>
      <c r="B2" s="58" t="s">
        <v>20</v>
      </c>
      <c r="C2" s="59">
        <v>34.5</v>
      </c>
      <c r="D2" s="58">
        <v>25</v>
      </c>
      <c r="E2" s="59" t="s">
        <v>1166</v>
      </c>
      <c r="F2" s="59" t="s">
        <v>1167</v>
      </c>
      <c r="G2" s="60">
        <v>920000</v>
      </c>
    </row>
    <row r="3" spans="1:7" ht="30" x14ac:dyDescent="0.25">
      <c r="A3" s="58" t="s">
        <v>6</v>
      </c>
      <c r="B3" s="58" t="s">
        <v>1168</v>
      </c>
      <c r="C3" s="59">
        <v>34.5</v>
      </c>
      <c r="D3" s="58">
        <v>10</v>
      </c>
      <c r="E3" s="59" t="s">
        <v>1169</v>
      </c>
      <c r="F3" s="59" t="s">
        <v>1170</v>
      </c>
      <c r="G3" s="60">
        <v>300000</v>
      </c>
    </row>
    <row r="4" spans="1:7" ht="45" x14ac:dyDescent="0.25">
      <c r="A4" s="58" t="s">
        <v>6</v>
      </c>
      <c r="B4" s="58" t="s">
        <v>26</v>
      </c>
      <c r="C4" s="59">
        <v>34.5</v>
      </c>
      <c r="D4" s="58">
        <v>10</v>
      </c>
      <c r="E4" s="59" t="s">
        <v>1171</v>
      </c>
      <c r="F4" s="59" t="s">
        <v>1172</v>
      </c>
      <c r="G4" s="60">
        <v>30000</v>
      </c>
    </row>
    <row r="5" spans="1:7" ht="60" x14ac:dyDescent="0.25">
      <c r="A5" s="58" t="s">
        <v>135</v>
      </c>
      <c r="B5" s="58" t="s">
        <v>1032</v>
      </c>
      <c r="C5" s="59" t="s">
        <v>1173</v>
      </c>
      <c r="D5" s="58">
        <v>10</v>
      </c>
      <c r="E5" s="59" t="s">
        <v>1174</v>
      </c>
      <c r="F5" s="59" t="s">
        <v>1175</v>
      </c>
      <c r="G5" s="60">
        <v>511666.87</v>
      </c>
    </row>
    <row r="6" spans="1:7" ht="60" x14ac:dyDescent="0.25">
      <c r="A6" s="58" t="s">
        <v>135</v>
      </c>
      <c r="B6" s="58" t="s">
        <v>872</v>
      </c>
      <c r="C6" s="59" t="s">
        <v>1173</v>
      </c>
      <c r="D6" s="58">
        <v>10</v>
      </c>
      <c r="E6" s="59" t="s">
        <v>1176</v>
      </c>
      <c r="F6" s="59" t="s">
        <v>1177</v>
      </c>
      <c r="G6" s="60">
        <v>542180.84</v>
      </c>
    </row>
    <row r="7" spans="1:7" ht="90" x14ac:dyDescent="0.25">
      <c r="A7" s="62" t="s">
        <v>137</v>
      </c>
      <c r="B7" s="58" t="s">
        <v>1178</v>
      </c>
      <c r="C7" s="59">
        <v>34.5</v>
      </c>
      <c r="D7" s="58">
        <v>10</v>
      </c>
      <c r="E7" s="59" t="s">
        <v>1179</v>
      </c>
      <c r="F7" s="59" t="s">
        <v>1180</v>
      </c>
      <c r="G7" s="60">
        <v>250000</v>
      </c>
    </row>
    <row r="8" spans="1:7" ht="60" x14ac:dyDescent="0.25">
      <c r="A8" s="62" t="s">
        <v>148</v>
      </c>
      <c r="B8" s="58" t="s">
        <v>43</v>
      </c>
      <c r="C8" s="59">
        <v>34.5</v>
      </c>
      <c r="D8" s="58">
        <v>10</v>
      </c>
      <c r="E8" s="59" t="s">
        <v>1181</v>
      </c>
      <c r="F8" s="59" t="s">
        <v>1182</v>
      </c>
      <c r="G8" s="60">
        <v>542876.80000000005</v>
      </c>
    </row>
    <row r="9" spans="1:7" ht="60" x14ac:dyDescent="0.25">
      <c r="A9" s="62" t="s">
        <v>148</v>
      </c>
      <c r="B9" s="58" t="s">
        <v>739</v>
      </c>
      <c r="C9" s="59">
        <v>34.5</v>
      </c>
      <c r="D9" s="58">
        <v>10</v>
      </c>
      <c r="E9" s="59" t="s">
        <v>1183</v>
      </c>
      <c r="F9" s="59" t="s">
        <v>1184</v>
      </c>
      <c r="G9" s="60">
        <v>498340</v>
      </c>
    </row>
    <row r="10" spans="1:7" ht="60" x14ac:dyDescent="0.25">
      <c r="A10" s="61" t="s">
        <v>151</v>
      </c>
      <c r="B10" s="58" t="s">
        <v>1185</v>
      </c>
      <c r="C10" s="59" t="s">
        <v>1173</v>
      </c>
      <c r="D10" s="58">
        <v>10</v>
      </c>
      <c r="E10" s="59" t="s">
        <v>1186</v>
      </c>
      <c r="F10" s="59" t="s">
        <v>1187</v>
      </c>
      <c r="G10" s="60">
        <v>2799466.93</v>
      </c>
    </row>
    <row r="11" spans="1:7" ht="45" x14ac:dyDescent="0.25">
      <c r="A11" s="62" t="s">
        <v>152</v>
      </c>
      <c r="B11" s="58" t="s">
        <v>1188</v>
      </c>
      <c r="C11" s="59">
        <v>34.5</v>
      </c>
      <c r="D11" s="58">
        <v>20</v>
      </c>
      <c r="E11" s="59" t="s">
        <v>1189</v>
      </c>
      <c r="F11" s="59" t="s">
        <v>1190</v>
      </c>
      <c r="G11" s="60">
        <v>2000000</v>
      </c>
    </row>
    <row r="12" spans="1:7" ht="45" x14ac:dyDescent="0.25">
      <c r="A12" s="62" t="s">
        <v>533</v>
      </c>
      <c r="B12" s="58" t="s">
        <v>1191</v>
      </c>
      <c r="C12" s="59">
        <v>34.5</v>
      </c>
      <c r="D12" s="58">
        <v>20</v>
      </c>
      <c r="E12" s="59" t="s">
        <v>1192</v>
      </c>
      <c r="F12" s="59" t="s">
        <v>1193</v>
      </c>
      <c r="G12" s="60">
        <v>554133.68001999997</v>
      </c>
    </row>
    <row r="13" spans="1:7" ht="45" x14ac:dyDescent="0.25">
      <c r="A13" s="62" t="s">
        <v>533</v>
      </c>
      <c r="B13" s="58" t="s">
        <v>542</v>
      </c>
      <c r="C13" s="59">
        <v>34.5</v>
      </c>
      <c r="D13" s="58">
        <v>10</v>
      </c>
      <c r="E13" s="59" t="s">
        <v>1194</v>
      </c>
      <c r="F13" s="59" t="s">
        <v>1195</v>
      </c>
      <c r="G13" s="60">
        <v>554829.13002000004</v>
      </c>
    </row>
    <row r="14" spans="1:7" ht="60" x14ac:dyDescent="0.25">
      <c r="A14" s="62" t="s">
        <v>533</v>
      </c>
      <c r="B14" s="58" t="s">
        <v>569</v>
      </c>
      <c r="C14" s="59">
        <v>34.5</v>
      </c>
      <c r="D14" s="58">
        <v>20</v>
      </c>
      <c r="E14" s="59" t="s">
        <v>1196</v>
      </c>
      <c r="F14" s="59" t="s">
        <v>1197</v>
      </c>
      <c r="G14" s="60">
        <v>454436.03002000001</v>
      </c>
    </row>
    <row r="15" spans="1:7" ht="45" x14ac:dyDescent="0.25">
      <c r="A15" s="62" t="s">
        <v>153</v>
      </c>
      <c r="B15" s="58" t="s">
        <v>1198</v>
      </c>
      <c r="C15" s="59">
        <v>34.5</v>
      </c>
      <c r="D15" s="58">
        <v>10</v>
      </c>
      <c r="E15" s="59" t="s">
        <v>1199</v>
      </c>
      <c r="F15" s="59" t="s">
        <v>1200</v>
      </c>
      <c r="G15" s="60">
        <v>420000</v>
      </c>
    </row>
    <row r="16" spans="1:7" ht="45" x14ac:dyDescent="0.25">
      <c r="A16" s="62" t="s">
        <v>153</v>
      </c>
      <c r="B16" s="58" t="s">
        <v>1201</v>
      </c>
      <c r="C16" s="59">
        <v>34.5</v>
      </c>
      <c r="D16" s="58">
        <v>20</v>
      </c>
      <c r="E16" s="59" t="s">
        <v>1202</v>
      </c>
      <c r="F16" s="59" t="s">
        <v>1203</v>
      </c>
      <c r="G16" s="60">
        <v>420000</v>
      </c>
    </row>
    <row r="17" spans="1:7" ht="30" x14ac:dyDescent="0.25">
      <c r="A17" s="62" t="s">
        <v>153</v>
      </c>
      <c r="B17" s="58" t="s">
        <v>1204</v>
      </c>
      <c r="C17" s="59">
        <v>34.5</v>
      </c>
      <c r="D17" s="58">
        <v>10</v>
      </c>
      <c r="E17" s="59" t="s">
        <v>1205</v>
      </c>
      <c r="F17" s="59" t="s">
        <v>1206</v>
      </c>
      <c r="G17" s="60">
        <v>499741.83773584903</v>
      </c>
    </row>
    <row r="18" spans="1:7" ht="45" x14ac:dyDescent="0.25">
      <c r="A18" s="61" t="s">
        <v>153</v>
      </c>
      <c r="B18" s="58" t="s">
        <v>1207</v>
      </c>
      <c r="C18" s="59">
        <v>34.5</v>
      </c>
      <c r="D18" s="58">
        <v>2.65</v>
      </c>
      <c r="E18" s="59" t="s">
        <v>1208</v>
      </c>
      <c r="F18" s="59" t="s">
        <v>1209</v>
      </c>
      <c r="G18" s="60">
        <v>420000</v>
      </c>
    </row>
    <row r="19" spans="1:7" ht="45" x14ac:dyDescent="0.25">
      <c r="A19" s="61" t="s">
        <v>154</v>
      </c>
      <c r="B19" s="58" t="s">
        <v>1007</v>
      </c>
      <c r="C19" s="59">
        <v>34.5</v>
      </c>
      <c r="D19" s="58">
        <v>20</v>
      </c>
      <c r="E19" s="59" t="s">
        <v>1210</v>
      </c>
      <c r="F19" s="59" t="s">
        <v>1211</v>
      </c>
      <c r="G19" s="60">
        <v>2299466.9300000002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Hoja2</vt:lpstr>
      <vt:lpstr>INFO SOBRE SUB ESTACIONES Y TRX</vt:lpstr>
      <vt:lpstr>SE TRX 10 MVA</vt:lpstr>
      <vt:lpstr>PROYECTOSPRTSEN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2025-08-14T15:00:38Z</cp:lastPrinted>
  <dcterms:created xsi:type="dcterms:W3CDTF">2025-08-12T17:17:41Z</dcterms:created>
  <dcterms:modified xsi:type="dcterms:W3CDTF">2026-01-09T14:45:15Z</dcterms:modified>
</cp:coreProperties>
</file>